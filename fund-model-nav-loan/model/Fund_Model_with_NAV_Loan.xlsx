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Inputs" sheetId="2" state="visible" r:id="rId4"/>
    <sheet name="Fund" sheetId="3" state="visible" r:id="rId5"/>
    <sheet name="Returns" sheetId="4" state="visible" r:id="rId6"/>
    <sheet name="NAV Loan" sheetId="5" state="visible" r:id="rId7"/>
    <sheet name="LP Statement" sheetId="6" state="visible" r:id="rId8"/>
    <sheet name="Check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<sst xmlns="http://schemas.openxmlformats.org/spreadsheetml/2006/main" count="307" uniqueCount="264">
  <si>
    <t xml:space="preserve">Fund model: capital calls, distributions, NAV, IRR, DPI / RVPI / TVPI, LP statement</t>
  </si>
  <si>
    <t xml:space="preserve">Synthetic $100mm growth fund, 40 quarters. Illustrative only - no real fund or investor data.</t>
  </si>
  <si>
    <t xml:space="preserve">Sheet map</t>
  </si>
  <si>
    <t xml:space="preserve">Inputs (commitments, terms, NAV loan, as-of date) -&gt; Fund (quarterly engine incl. loan schedule and a no-loan shadow case) -&gt; Returns (metrics + chart) -&gt; NAV Loan (with vs without comparison) -&gt; LP Statement (per-investor capital account) -&gt; Checks.</t>
  </si>
  <si>
    <t xml:space="preserve">Colour code</t>
  </si>
  <si>
    <t xml:space="preserve">Blue = input | Black = formula | Green = link from another sheet | Yellow = key assumption or selector.</t>
  </si>
  <si>
    <t xml:space="preserve">Capital calls</t>
  </si>
  <si>
    <t xml:space="preserve">During the 5-year investment period, calls each quarter = investment + management fee + fund expenses. Investments are 85% of commitments spread evenly.</t>
  </si>
  <si>
    <t xml:space="preserve">Distributions &amp; NAV</t>
  </si>
  <si>
    <t xml:space="preserve">Portfolio grows at the gross return; a rising share of it is realised each quarter from the first exit quarter, and the rest is liquidated in quarter 40. Investor NAV = portfolio value less accrued carry.</t>
  </si>
  <si>
    <t xml:space="preserve">NAV loan extension</t>
  </si>
  <si>
    <t xml:space="preserve">A single draw against portfolio value (advance rate x portfolio value, capped) in the chosen quarter. Interest is paid in cash each quarter, exit proceeds sweep the balance down, the net draw is paid out as a special distribution, and investor NAV is net of the loan. Switch it off on Inputs!B35; the NAV Loan sheet always shows both cases.</t>
  </si>
  <si>
    <t xml:space="preserve">Metrics</t>
  </si>
  <si>
    <t xml:space="preserve">DPI = distributions / paid-in. RVPI = residual NAV / paid-in. TVPI = DPI + RVPI. XIRR uses dated quarter-end flows, with NAV as the terminal value at the as-of date.</t>
  </si>
  <si>
    <t xml:space="preserve">Simplifications</t>
  </si>
  <si>
    <t xml:space="preserve">(1) Carry is 20% of profit after return of paid-in capital - no preferred return, catch-up or clawback. (2) All investors pro rata, GP commitment included. (3) No fund-level cash or recycling; the only leverage is the optional NAV loan (single draw, no covenants, fixed rate). (4) Flows at quarter-end. (5) Fees post-investment period are netted from distributions.</t>
  </si>
  <si>
    <t xml:space="preserve">Key outputs (live)</t>
  </si>
  <si>
    <t xml:space="preserve">As-of date</t>
  </si>
  <si>
    <t xml:space="preserve">Paid-in capital ($mm)</t>
  </si>
  <si>
    <t xml:space="preserve">Distributions ($mm)</t>
  </si>
  <si>
    <t xml:space="preserve">Residual NAV ($mm)</t>
  </si>
  <si>
    <t xml:space="preserve">DPI</t>
  </si>
  <si>
    <t xml:space="preserve">RVPI</t>
  </si>
  <si>
    <t xml:space="preserve">TVPI</t>
  </si>
  <si>
    <t xml:space="preserve">Net IRR</t>
  </si>
  <si>
    <t xml:space="preserve">Gross IRR</t>
  </si>
  <si>
    <t xml:space="preserve">NAV loan on? (1 = yes)</t>
  </si>
  <si>
    <t xml:space="preserve">TVPI without loan</t>
  </si>
  <si>
    <t xml:space="preserve">Net IRR without loan</t>
  </si>
  <si>
    <t xml:space="preserve">Model integrity</t>
  </si>
  <si>
    <t xml:space="preserve">Fund model - Inputs</t>
  </si>
  <si>
    <t xml:space="preserve">SYNTHETIC illustrative fund. Blue = input, black = formula, green = cross-sheet link, yellow = key assumption. US$ millions.</t>
  </si>
  <si>
    <t xml:space="preserve">Fund name</t>
  </si>
  <si>
    <t xml:space="preserve">Sample Growth Fund I, L.P. (synthetic)</t>
  </si>
  <si>
    <t xml:space="preserve">Units</t>
  </si>
  <si>
    <t xml:space="preserve">US$ millions</t>
  </si>
  <si>
    <t xml:space="preserve">Investor commitments</t>
  </si>
  <si>
    <t xml:space="preserve">Commitment ($mm)</t>
  </si>
  <si>
    <t xml:space="preserve">% of fund</t>
  </si>
  <si>
    <t xml:space="preserve">LP A (institutional)</t>
  </si>
  <si>
    <t xml:space="preserve">Names are synthetic. All investors are treated pro rata to commitment, including the GP commitment (no fee/carry waiver modelled).</t>
  </si>
  <si>
    <t xml:space="preserve">LP B (family office)</t>
  </si>
  <si>
    <t xml:space="preserve">LP C (fund of funds)</t>
  </si>
  <si>
    <t xml:space="preserve">GP commitment</t>
  </si>
  <si>
    <t xml:space="preserve">Total commitments</t>
  </si>
  <si>
    <t xml:space="preserve">Fund terms</t>
  </si>
  <si>
    <t xml:space="preserve">Value</t>
  </si>
  <si>
    <t xml:space="preserve">First quarter-end date</t>
  </si>
  <si>
    <t xml:space="preserve">Quarter 1 ends on this date. Model runs 40 quarters (10 years).</t>
  </si>
  <si>
    <t xml:space="preserve">Investment period (quarters)</t>
  </si>
  <si>
    <t xml:space="preserve">5 years. Calls fund investments, fees and expenses during this period only.</t>
  </si>
  <si>
    <t xml:space="preserve">Investable capital, % of commitments</t>
  </si>
  <si>
    <t xml:space="preserve">Deployed evenly across the investment period; the balance covers fees and expenses.</t>
  </si>
  <si>
    <t xml:space="preserve">Management fee - investment period (% of commitments p.a.)</t>
  </si>
  <si>
    <t xml:space="preserve">Charged quarterly (1/4 of annual rate) on total commitments.</t>
  </si>
  <si>
    <t xml:space="preserve">Management fee - after investment period (% of opening NAV p.a.)</t>
  </si>
  <si>
    <t xml:space="preserve">Netted from distributions once calls stop.</t>
  </si>
  <si>
    <t xml:space="preserve">Fund expenses (% of commitments p.a.)</t>
  </si>
  <si>
    <t xml:space="preserve">Audit, admin, legal. Same funding rule as the fee.</t>
  </si>
  <si>
    <t xml:space="preserve">Carried interest</t>
  </si>
  <si>
    <t xml:space="preserve">Simplified: 20% of profit once cumulative distributions exceed paid-in capital. No preferred return or catch-up (see README).</t>
  </si>
  <si>
    <t xml:space="preserve">Gross portfolio return (% p.a.)</t>
  </si>
  <si>
    <t xml:space="preserve">Applied quarterly to opening portfolio value; new investments are made at quarter-end.</t>
  </si>
  <si>
    <t xml:space="preserve">First exit quarter</t>
  </si>
  <si>
    <t xml:space="preserve">Exits begin in year 5, overlapping the end of the investment period.</t>
  </si>
  <si>
    <t xml:space="preserve">Exit rate in first exit quarter (% of portfolio value)</t>
  </si>
  <si>
    <t xml:space="preserve">Share of portfolio value realised that quarter.</t>
  </si>
  <si>
    <t xml:space="preserve">Exit rate step-up per quarter</t>
  </si>
  <si>
    <t xml:space="preserve">Exit rate rises each quarter (capped at 100%). Any remainder is liquidated in the final quarter.</t>
  </si>
  <si>
    <t xml:space="preserve">Reporting selection</t>
  </si>
  <si>
    <t xml:space="preserve">As-of date for returns metrics (choose a quarter-end)</t>
  </si>
  <si>
    <t xml:space="preserve">Drop-down. DPI / RVPI / TVPI / IRR on the Returns sheet are measured at this date. Set to 31-Dec-2032 for since-inception, fund-end results.</t>
  </si>
  <si>
    <t xml:space="preserve">NAV loan facility (extension)</t>
  </si>
  <si>
    <t xml:space="preserve">NAV loan switch (1 = on, 0 = off)</t>
  </si>
  <si>
    <t xml:space="preserve">Off reproduces the original no-loan model exactly. The NAV Loan sheet compares both cases side by side either way.</t>
  </si>
  <si>
    <t xml:space="preserve">Draw quarter (quarter number, single draw)</t>
  </si>
  <si>
    <t xml:space="preserve">Default = first quarter after the investment period, once capital calls have stopped.</t>
  </si>
  <si>
    <t xml:space="preserve">Advance rate / LTV (% of portfolio value at draw)</t>
  </si>
  <si>
    <t xml:space="preserve">Lender advances this share of the closing portfolio value at the draw quarter-end.</t>
  </si>
  <si>
    <t xml:space="preserve">Maximum facility size ($mm)</t>
  </si>
  <si>
    <t xml:space="preserve">Cap on the draw: draw = MIN(advance rate x portfolio value, cap).</t>
  </si>
  <si>
    <t xml:space="preserve">Interest rate (% p.a., cash-pay quarterly)</t>
  </si>
  <si>
    <t xml:space="preserve">Illustrative assumption: NAV facilities are priced at a premium to senior credit. Charged on the opening balance.</t>
  </si>
  <si>
    <t xml:space="preserve">Upfront arrangement fee (% of draw)</t>
  </si>
  <si>
    <t xml:space="preserve">Deducted from the cash paid out to investors.</t>
  </si>
  <si>
    <t xml:space="preserve">Cash sweep: % of exit proceeds applied to repayment</t>
  </si>
  <si>
    <t xml:space="preserve">Applied after interest (and post-investment-period fees). Any balance left is repaid in the final quarter.</t>
  </si>
  <si>
    <t xml:space="preserve">Use of proceeds: the net draw (draw less arrangement fee) is paid to investors as a special distribution, i.e. a dividend recap. It counts towards carry like any other distribution.</t>
  </si>
  <si>
    <t xml:space="preserve">Fund cash flows, carry and NAV (quarterly)</t>
  </si>
  <si>
    <t xml:space="preserve">US$ millions, flows at quarter-end. Row 6 is the opening balance. Investors are pooled; per-investor figures on the LP Statement sheet are pro rata.</t>
  </si>
  <si>
    <t xml:space="preserve">Mechanics: calls = investments + fees + expenses (investment period). After it, fees/expenses are netted from proceeds. Carry = 20% x max(0, cumulative distributions - paid-in). NAV shown net of carry that would be due on a hypothetical liquidation. NAV loan (cols AE-AL) is drawn once, pays cash interest, is swept from exit proceeds, and its net proceeds are distributed; investor NAV is net of the loan balance. Cols AM-AW re-run the fund with no loan for comparison.</t>
  </si>
  <si>
    <t xml:space="preserve">Qtr</t>
  </si>
  <si>
    <t xml:space="preserve">Quarter end</t>
  </si>
  <si>
    <t xml:space="preserve">Inv. period? (1/0)</t>
  </si>
  <si>
    <t xml:space="preserve">Opening portfolio value</t>
  </si>
  <si>
    <t xml:space="preserve">Investments</t>
  </si>
  <si>
    <t xml:space="preserve">Portfolio gain</t>
  </si>
  <si>
    <t xml:space="preserve">Exit rate</t>
  </si>
  <si>
    <t xml:space="preserve">Gross exit proceeds</t>
  </si>
  <si>
    <t xml:space="preserve">Closing portfolio value</t>
  </si>
  <si>
    <t xml:space="preserve">Management fee</t>
  </si>
  <si>
    <t xml:space="preserve">Fund expenses</t>
  </si>
  <si>
    <t xml:space="preserve">Distributions before carry</t>
  </si>
  <si>
    <t xml:space="preserve">Carry paid</t>
  </si>
  <si>
    <t xml:space="preserve">Net distributions to investors</t>
  </si>
  <si>
    <t xml:space="preserve">Cumulative calls (paid-in)</t>
  </si>
  <si>
    <t xml:space="preserve">Cumulative distributions before carry</t>
  </si>
  <si>
    <t xml:space="preserve">Cumulative carry paid</t>
  </si>
  <si>
    <t xml:space="preserve">Accrued carry (unrealised)</t>
  </si>
  <si>
    <t xml:space="preserve">Investor NAV (net of accrued carry)</t>
  </si>
  <si>
    <t xml:space="preserve">Cumulative net distributions</t>
  </si>
  <si>
    <t xml:space="preserve">Net investor cash flow</t>
  </si>
  <si>
    <t xml:space="preserve">Net flow for XIRR (to as-of, incl. NAV)</t>
  </si>
  <si>
    <t xml:space="preserve">Gross fund cash flow</t>
  </si>
  <si>
    <t xml:space="preserve">Gross flow for XIRR (to as-of, incl. NAV)</t>
  </si>
  <si>
    <t xml:space="preserve">Unfunded commitment</t>
  </si>
  <si>
    <t xml:space="preserve">Carried interest expense (paid + change in accrual)</t>
  </si>
  <si>
    <t xml:space="preserve">NAV loan: opening balance</t>
  </si>
  <si>
    <t xml:space="preserve">NAV loan: draw</t>
  </si>
  <si>
    <t xml:space="preserve">NAV loan: arrangement fee</t>
  </si>
  <si>
    <t xml:space="preserve">NAV loan: interest (cash)</t>
  </si>
  <si>
    <t xml:space="preserve">NAV loan: repayment</t>
  </si>
  <si>
    <t xml:space="preserve">NAV loan: closing balance</t>
  </si>
  <si>
    <t xml:space="preserve">NAV loan: net cash distributed at draw</t>
  </si>
  <si>
    <t xml:space="preserve">Loan-to-value (loan / portfolio value)</t>
  </si>
  <si>
    <t xml:space="preserve">No-loan case: distributions before carry</t>
  </si>
  <si>
    <t xml:space="preserve">No-loan: cumulative distributions before carry</t>
  </si>
  <si>
    <t xml:space="preserve">No-loan: carry paid</t>
  </si>
  <si>
    <t xml:space="preserve">No-loan: cumulative carry paid</t>
  </si>
  <si>
    <t xml:space="preserve">No-loan: net distributions</t>
  </si>
  <si>
    <t xml:space="preserve">No-loan: accrued carry</t>
  </si>
  <si>
    <t xml:space="preserve">No-loan: investor NAV</t>
  </si>
  <si>
    <t xml:space="preserve">No-loan: cumulative net distributions</t>
  </si>
  <si>
    <t xml:space="preserve">No-loan: net investor cash flow</t>
  </si>
  <si>
    <t xml:space="preserve">No-loan: net flow for XIRR (to as-of)</t>
  </si>
  <si>
    <t xml:space="preserve">TVPI (no-loan case)</t>
  </si>
  <si>
    <t xml:space="preserve">opening</t>
  </si>
  <si>
    <t xml:space="preserve">Total</t>
  </si>
  <si>
    <t xml:space="preserve">Returns summary (investor level, net of fees, loan costs and carry)</t>
  </si>
  <si>
    <t xml:space="preserve">Measured at the as-of date on the Inputs sheet.</t>
  </si>
  <si>
    <t xml:space="preserve">Row index of as-of quarter (helper)</t>
  </si>
  <si>
    <t xml:space="preserve">Quarter number</t>
  </si>
  <si>
    <t xml:space="preserve">Net (investor) metrics</t>
  </si>
  <si>
    <t xml:space="preserve">Definition</t>
  </si>
  <si>
    <t xml:space="preserve">Total commitments ($mm)</t>
  </si>
  <si>
    <t xml:space="preserve">Sum of investor commitments.</t>
  </si>
  <si>
    <t xml:space="preserve">Cumulative capital calls to the as-of date.</t>
  </si>
  <si>
    <t xml:space="preserve">% of commitments called</t>
  </si>
  <si>
    <t xml:space="preserve">Unfunded commitment ($mm)</t>
  </si>
  <si>
    <t xml:space="preserve">Cumulative distributions ($mm)</t>
  </si>
  <si>
    <t xml:space="preserve">Received by investors, after carried interest.</t>
  </si>
  <si>
    <t xml:space="preserve">Portfolio value less NAV loan balance less accrued (unrealised) carry.</t>
  </si>
  <si>
    <t xml:space="preserve">Distributions / paid-in capital. Realised return.</t>
  </si>
  <si>
    <t xml:space="preserve">Residual NAV / paid-in capital. Unrealised return.</t>
  </si>
  <si>
    <t xml:space="preserve">DPI + RVPI. Total value / paid-in capital.</t>
  </si>
  <si>
    <t xml:space="preserve">Net IRR (XIRR)</t>
  </si>
  <si>
    <t xml:space="preserve">Annualised, dated flows: -calls + distributions, with NAV as a terminal value at the as-of date. Levered if the NAV loan is on.</t>
  </si>
  <si>
    <t xml:space="preserve">Gross (portfolio) metrics</t>
  </si>
  <si>
    <t xml:space="preserve">Cumulative investments ($mm)</t>
  </si>
  <si>
    <t xml:space="preserve">Cumulative gross exit proceeds ($mm)</t>
  </si>
  <si>
    <t xml:space="preserve">Portfolio value ($mm)</t>
  </si>
  <si>
    <t xml:space="preserve">Before carry, fees and expenses.</t>
  </si>
  <si>
    <t xml:space="preserve">Gross MOIC</t>
  </si>
  <si>
    <t xml:space="preserve">(Proceeds + portfolio value) / invested cost.</t>
  </si>
  <si>
    <t xml:space="preserve">Gross IRR (XIRR)</t>
  </si>
  <si>
    <t xml:space="preserve">On investment and exit flows, before fees, expenses and carry.</t>
  </si>
  <si>
    <t xml:space="preserve">Gross-to-net IRR spread</t>
  </si>
  <si>
    <t xml:space="preserve">Cost of fees, expenses and carry.</t>
  </si>
  <si>
    <t xml:space="preserve">Fund life totals (to final quarter)</t>
  </si>
  <si>
    <t xml:space="preserve">Total capital called ($mm)</t>
  </si>
  <si>
    <t xml:space="preserve">Total net distributions ($mm)</t>
  </si>
  <si>
    <t xml:space="preserve">Total management fees ($mm)</t>
  </si>
  <si>
    <t xml:space="preserve">Total fund expenses ($mm)</t>
  </si>
  <si>
    <t xml:space="preserve">Total carried interest paid ($mm)</t>
  </si>
  <si>
    <t xml:space="preserve">Final TVPI (all distributed)</t>
  </si>
  <si>
    <t xml:space="preserve">NAV loan extension: impact on investor returns</t>
  </si>
  <si>
    <t xml:space="preserve">Same fund run twice: with the NAV loan (as set on Inputs) and without it. US$ millions.</t>
  </si>
  <si>
    <t xml:space="preserve">NAV loan switch (1 = on)</t>
  </si>
  <si>
    <t xml:space="preserve">Draw quarter end</t>
  </si>
  <si>
    <t xml:space="preserve">Advance rate (LTV) / interest rate p.a.</t>
  </si>
  <si>
    <t xml:space="preserve">Investor returns at the as-of date</t>
  </si>
  <si>
    <t xml:space="preserve">With NAV loan</t>
  </si>
  <si>
    <t xml:space="preserve">Without loan</t>
  </si>
  <si>
    <t xml:space="preserve">Difference</t>
  </si>
  <si>
    <t xml:space="preserve">Reading it</t>
  </si>
  <si>
    <t xml:space="preserve">Capital calls are identical: the loan does not change what investors fund.</t>
  </si>
  <si>
    <t xml:space="preserve">Higher with the loan once the special distribution is paid, until the loan is repaid from exits.</t>
  </si>
  <si>
    <t xml:space="preserve">Lower with the loan outstanding: NAV is net of the debt.</t>
  </si>
  <si>
    <t xml:space="preserve">Realised return: pulled forward by the recap.</t>
  </si>
  <si>
    <t xml:space="preserve">Total value: reduced by interest and the arrangement fee.</t>
  </si>
  <si>
    <t xml:space="preserve">IRR rewards getting cash back sooner, which is why sponsors use NAV loans.</t>
  </si>
  <si>
    <t xml:space="preserve">Fund life (to final quarter)</t>
  </si>
  <si>
    <t xml:space="preserve">Net IRR since inception</t>
  </si>
  <si>
    <t xml:space="preserve">NAV loan summary</t>
  </si>
  <si>
    <t xml:space="preserve">Amount drawn ($mm)</t>
  </si>
  <si>
    <t xml:space="preserve">Arrangement fee ($mm)</t>
  </si>
  <si>
    <t xml:space="preserve">Net cash distributed to investors at draw ($mm)</t>
  </si>
  <si>
    <t xml:space="preserve">Total interest paid ($mm)</t>
  </si>
  <si>
    <t xml:space="preserve">Total cost of loan: interest + fee ($mm)</t>
  </si>
  <si>
    <t xml:space="preserve">Total repaid ($mm)</t>
  </si>
  <si>
    <t xml:space="preserve">Peak loan-to-value (loan / portfolio value)</t>
  </si>
  <si>
    <t xml:space="preserve">Quarter loan is fully repaid</t>
  </si>
  <si>
    <t xml:space="preserve">LP capital account statement</t>
  </si>
  <si>
    <t xml:space="preserve">Select an investor and a period. Period should start the day after a quarter-end and end on a quarter-end. US$ millions.</t>
  </si>
  <si>
    <t xml:space="preserve">Investor</t>
  </si>
  <si>
    <t xml:space="preserve">Share of fund</t>
  </si>
  <si>
    <t xml:space="preserve">Period start</t>
  </si>
  <si>
    <t xml:space="preserve">Inputs (change freely). Beginning balance = closing balance at the last quarter-end before the start date.</t>
  </si>
  <si>
    <t xml:space="preserve">Period end</t>
  </si>
  <si>
    <t xml:space="preserve">Statement of capital account</t>
  </si>
  <si>
    <t xml:space="preserve">Period ($mm)</t>
  </si>
  <si>
    <t xml:space="preserve">Beginning capital balance</t>
  </si>
  <si>
    <t xml:space="preserve">Contributions (capital calls)</t>
  </si>
  <si>
    <t xml:space="preserve">Distributions</t>
  </si>
  <si>
    <t xml:space="preserve">Allocated income / (loss):</t>
  </si>
  <si>
    <t xml:space="preserve">Portfolio gains</t>
  </si>
  <si>
    <t xml:space="preserve">Management fees</t>
  </si>
  <si>
    <t xml:space="preserve">NAV loan interest</t>
  </si>
  <si>
    <t xml:space="preserve">NAV loan arrangement fee</t>
  </si>
  <si>
    <t xml:space="preserve">Carried interest (paid + change in accrual)</t>
  </si>
  <si>
    <t xml:space="preserve">Net allocated income / (loss)</t>
  </si>
  <si>
    <t xml:space="preserve">Ending capital balance</t>
  </si>
  <si>
    <t xml:space="preserve">Check: fund NAV x share at period end (should equal above)</t>
  </si>
  <si>
    <t xml:space="preserve">Inception to period end (memo)</t>
  </si>
  <si>
    <t xml:space="preserve">Cumulative contributions ($mm)</t>
  </si>
  <si>
    <t xml:space="preserve">All investors are pro rata, so ratios and IRR are identical across investors; dollar amounts scale with commitment.</t>
  </si>
  <si>
    <t xml:space="preserve">Quarterly capital account roll-forward</t>
  </si>
  <si>
    <t xml:space="preserve">Beginning capital</t>
  </si>
  <si>
    <t xml:space="preserve">Contributions</t>
  </si>
  <si>
    <t xml:space="preserve">Net allocated income</t>
  </si>
  <si>
    <t xml:space="preserve">Ending capital</t>
  </si>
  <si>
    <t xml:space="preserve">Check vs fund NAV</t>
  </si>
  <si>
    <t xml:space="preserve">Model integrity checks</t>
  </si>
  <si>
    <t xml:space="preserve">All differences should be zero (tolerance 0.001).</t>
  </si>
  <si>
    <t xml:space="preserve">Check</t>
  </si>
  <si>
    <t xml:space="preserve">What it tests</t>
  </si>
  <si>
    <t xml:space="preserve">Investor commitments sum to fund commitments</t>
  </si>
  <si>
    <t xml:space="preserve">Commitment table adds up.</t>
  </si>
  <si>
    <t xml:space="preserve">Calls fully fund investments + fees + expenses in investment period</t>
  </si>
  <si>
    <t xml:space="preserve">Commitment is never the binding constraint.</t>
  </si>
  <si>
    <t xml:space="preserve">Cumulative calls never exceed commitments</t>
  </si>
  <si>
    <t xml:space="preserve">No over-calling.</t>
  </si>
  <si>
    <t xml:space="preserve">Portfolio fully realised by final quarter</t>
  </si>
  <si>
    <t xml:space="preserve">Closing portfolio value in last quarter = 0.</t>
  </si>
  <si>
    <t xml:space="preserve">Investor NAV roll-forward identity (all quarters)</t>
  </si>
  <si>
    <t xml:space="preserve">Change in NAV = calls - distributions + gains - fees - expenses - loan interest - loan fee - carry.</t>
  </si>
  <si>
    <t xml:space="preserve">Distributions + carry = distributions before carry</t>
  </si>
  <si>
    <t xml:space="preserve">Carry is deducted exactly once.</t>
  </si>
  <si>
    <t xml:space="preserve">Net IRR: NPV of flows at XIRR = 0</t>
  </si>
  <si>
    <t xml:space="preserve">Independent test that the XIRR solution is right.</t>
  </si>
  <si>
    <t xml:space="preserve">Gross IRR: NPV of flows at XIRR = 0</t>
  </si>
  <si>
    <t xml:space="preserve">TVPI = DPI + RVPI at as-of date (Returns vs Fund time series)</t>
  </si>
  <si>
    <t xml:space="preserve">LP statement: ending balance = share of fund NAV</t>
  </si>
  <si>
    <t xml:space="preserve">Period statement ties to the fund.</t>
  </si>
  <si>
    <t xml:space="preserve">LP quarterly roll-forward ties to fund NAV (all quarters)</t>
  </si>
  <si>
    <t xml:space="preserve">NAV loan fully repaid by final quarter</t>
  </si>
  <si>
    <t xml:space="preserve">No debt left when the fund winds up.</t>
  </si>
  <si>
    <t xml:space="preserve">NAV loan drawn = repaid</t>
  </si>
  <si>
    <t xml:space="preserve">Total draws equal total repayments.</t>
  </si>
  <si>
    <t xml:space="preserve">Distributions never truncated by loan service</t>
  </si>
  <si>
    <t xml:space="preserve">Non-zero means exit proceeds were too small to pay interest and repayment: move the draw quarter or lower the LTV.</t>
  </si>
  <si>
    <t xml:space="preserve">Switch off: with-loan NAV equals no-loan NAV</t>
  </si>
  <si>
    <t xml:space="preserve">Confirms the loan layer is inert when off.</t>
  </si>
  <si>
    <t xml:space="preserve">OVERALL STATUS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</si>
</sst>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dd\-mmm\-yyyy"/>
    <numFmt numFmtId="166" formatCode="#,##0.0;\(#,##0.0\);\-"/>
    <numFmt numFmtId="167" formatCode="0.00\x"/>
    <numFmt numFmtId="168" formatCode="0.0%;\(0.0%\);\-"/>
    <numFmt numFmtId="169" formatCode="0"/>
    <numFmt numFmtId="170" formatCode="@"/>
    <numFmt numFmtId="171" formatCode="0.00%"/>
    <numFmt numFmtId="172" formatCode="0.000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4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10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80808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3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0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10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0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0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10" fillId="3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2" shrinkToFit="false"/>
      <protection locked="true" hidden="false"/>
    </xf>
    <xf numFmtId="166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1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BE4B4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8B855"/>
      <rgbColor rgb="FFFFCC00"/>
      <rgbColor rgb="FFFF9900"/>
      <rgbColor rgb="FFFF6600"/>
      <rgbColor rgb="FF595959"/>
      <rgbColor rgb="FF878787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DPI, RVPI and TVPI over time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Fund!V5</c:f>
              <c:strCache>
                <c:ptCount val="1"/>
                <c:pt idx="0">
                  <c:v>DPI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Fund!$B$7:$B$46</c:f>
              <c:strCache>
                <c:ptCount val="40"/>
                <c:pt idx="0">
                  <c:v>31-Mar-2023</c:v>
                </c:pt>
                <c:pt idx="1">
                  <c:v>30-Jun-2023</c:v>
                </c:pt>
                <c:pt idx="2">
                  <c:v>30-Sep-2023</c:v>
                </c:pt>
                <c:pt idx="3">
                  <c:v>31-Dec-2023</c:v>
                </c:pt>
                <c:pt idx="4">
                  <c:v>31-Mar-2024</c:v>
                </c:pt>
                <c:pt idx="5">
                  <c:v>30-Jun-2024</c:v>
                </c:pt>
                <c:pt idx="6">
                  <c:v>30-Sep-2024</c:v>
                </c:pt>
                <c:pt idx="7">
                  <c:v>31-Dec-2024</c:v>
                </c:pt>
                <c:pt idx="8">
                  <c:v>31-Mar-2025</c:v>
                </c:pt>
                <c:pt idx="9">
                  <c:v>30-Jun-2025</c:v>
                </c:pt>
                <c:pt idx="10">
                  <c:v>30-Sep-2025</c:v>
                </c:pt>
                <c:pt idx="11">
                  <c:v>31-Dec-2025</c:v>
                </c:pt>
                <c:pt idx="12">
                  <c:v>31-Mar-2026</c:v>
                </c:pt>
                <c:pt idx="13">
                  <c:v>30-Jun-2026</c:v>
                </c:pt>
                <c:pt idx="14">
                  <c:v>30-Sep-2026</c:v>
                </c:pt>
                <c:pt idx="15">
                  <c:v>31-Dec-2026</c:v>
                </c:pt>
                <c:pt idx="16">
                  <c:v>31-Mar-2027</c:v>
                </c:pt>
                <c:pt idx="17">
                  <c:v>30-Jun-2027</c:v>
                </c:pt>
                <c:pt idx="18">
                  <c:v>30-Sep-2027</c:v>
                </c:pt>
                <c:pt idx="19">
                  <c:v>31-Dec-2027</c:v>
                </c:pt>
                <c:pt idx="20">
                  <c:v>31-Mar-2028</c:v>
                </c:pt>
                <c:pt idx="21">
                  <c:v>30-Jun-2028</c:v>
                </c:pt>
                <c:pt idx="22">
                  <c:v>30-Sep-2028</c:v>
                </c:pt>
                <c:pt idx="23">
                  <c:v>31-Dec-2028</c:v>
                </c:pt>
                <c:pt idx="24">
                  <c:v>31-Mar-2029</c:v>
                </c:pt>
                <c:pt idx="25">
                  <c:v>30-Jun-2029</c:v>
                </c:pt>
                <c:pt idx="26">
                  <c:v>30-Sep-2029</c:v>
                </c:pt>
                <c:pt idx="27">
                  <c:v>31-Dec-2029</c:v>
                </c:pt>
                <c:pt idx="28">
                  <c:v>31-Mar-2030</c:v>
                </c:pt>
                <c:pt idx="29">
                  <c:v>30-Jun-2030</c:v>
                </c:pt>
                <c:pt idx="30">
                  <c:v>30-Sep-2030</c:v>
                </c:pt>
                <c:pt idx="31">
                  <c:v>31-Dec-2030</c:v>
                </c:pt>
                <c:pt idx="32">
                  <c:v>31-Mar-2031</c:v>
                </c:pt>
                <c:pt idx="33">
                  <c:v>30-Jun-2031</c:v>
                </c:pt>
                <c:pt idx="34">
                  <c:v>30-Sep-2031</c:v>
                </c:pt>
                <c:pt idx="35">
                  <c:v>31-Dec-2031</c:v>
                </c:pt>
                <c:pt idx="36">
                  <c:v>31-Mar-2032</c:v>
                </c:pt>
                <c:pt idx="37">
                  <c:v>30-Jun-2032</c:v>
                </c:pt>
                <c:pt idx="38">
                  <c:v>30-Sep-2032</c:v>
                </c:pt>
                <c:pt idx="39">
                  <c:v>31-Dec-2032</c:v>
                </c:pt>
              </c:strCache>
            </c:strRef>
          </c:cat>
          <c:val>
            <c:numRef>
              <c:f>Fund!$V$6:$V$46</c:f>
              <c:numCache>
                <c:formatCode>0.00\x</c:formatCode>
                <c:ptCount val="41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0.0504650429082876</c:v>
                </c:pt>
                <c:pt idx="18">
                  <c:v>0.115944886109946</c:v>
                </c:pt>
                <c:pt idx="19">
                  <c:v>0.194203991511318</c:v>
                </c:pt>
                <c:pt idx="20">
                  <c:v>0.282594951209023</c:v>
                </c:pt>
                <c:pt idx="21">
                  <c:v>0.535408627961313</c:v>
                </c:pt>
                <c:pt idx="22">
                  <c:v>0.618868409844584</c:v>
                </c:pt>
                <c:pt idx="23">
                  <c:v>0.706816164279279</c:v>
                </c:pt>
                <c:pt idx="24">
                  <c:v>0.796554878219274</c:v>
                </c:pt>
                <c:pt idx="25">
                  <c:v>0.885484394258882</c:v>
                </c:pt>
                <c:pt idx="26">
                  <c:v>0.971254230579339</c:v>
                </c:pt>
                <c:pt idx="27">
                  <c:v>1.06036684762204</c:v>
                </c:pt>
                <c:pt idx="28">
                  <c:v>1.13884578060831</c:v>
                </c:pt>
                <c:pt idx="29">
                  <c:v>1.20868100164505</c:v>
                </c:pt>
                <c:pt idx="30">
                  <c:v>1.26934798616604</c:v>
                </c:pt>
                <c:pt idx="31">
                  <c:v>1.32080710824819</c:v>
                </c:pt>
                <c:pt idx="32">
                  <c:v>1.36342717022195</c:v>
                </c:pt>
                <c:pt idx="33">
                  <c:v>1.39789029852774</c:v>
                </c:pt>
                <c:pt idx="34">
                  <c:v>1.42509008216825</c:v>
                </c:pt>
                <c:pt idx="35">
                  <c:v>1.44603358188608</c:v>
                </c:pt>
                <c:pt idx="36">
                  <c:v>1.46175548059798</c:v>
                </c:pt>
                <c:pt idx="37">
                  <c:v>1.47324969435865</c:v>
                </c:pt>
                <c:pt idx="38">
                  <c:v>1.48142073951421</c:v>
                </c:pt>
                <c:pt idx="39">
                  <c:v>1.48705449243359</c:v>
                </c:pt>
                <c:pt idx="40">
                  <c:v>1.49736035131375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Fund!W5</c:f>
              <c:strCache>
                <c:ptCount val="1"/>
                <c:pt idx="0">
                  <c:v>RVPI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Fund!$B$7:$B$46</c:f>
              <c:strCache>
                <c:ptCount val="40"/>
                <c:pt idx="0">
                  <c:v>31-Mar-2023</c:v>
                </c:pt>
                <c:pt idx="1">
                  <c:v>30-Jun-2023</c:v>
                </c:pt>
                <c:pt idx="2">
                  <c:v>30-Sep-2023</c:v>
                </c:pt>
                <c:pt idx="3">
                  <c:v>31-Dec-2023</c:v>
                </c:pt>
                <c:pt idx="4">
                  <c:v>31-Mar-2024</c:v>
                </c:pt>
                <c:pt idx="5">
                  <c:v>30-Jun-2024</c:v>
                </c:pt>
                <c:pt idx="6">
                  <c:v>30-Sep-2024</c:v>
                </c:pt>
                <c:pt idx="7">
                  <c:v>31-Dec-2024</c:v>
                </c:pt>
                <c:pt idx="8">
                  <c:v>31-Mar-2025</c:v>
                </c:pt>
                <c:pt idx="9">
                  <c:v>30-Jun-2025</c:v>
                </c:pt>
                <c:pt idx="10">
                  <c:v>30-Sep-2025</c:v>
                </c:pt>
                <c:pt idx="11">
                  <c:v>31-Dec-2025</c:v>
                </c:pt>
                <c:pt idx="12">
                  <c:v>31-Mar-2026</c:v>
                </c:pt>
                <c:pt idx="13">
                  <c:v>30-Jun-2026</c:v>
                </c:pt>
                <c:pt idx="14">
                  <c:v>30-Sep-2026</c:v>
                </c:pt>
                <c:pt idx="15">
                  <c:v>31-Dec-2026</c:v>
                </c:pt>
                <c:pt idx="16">
                  <c:v>31-Mar-2027</c:v>
                </c:pt>
                <c:pt idx="17">
                  <c:v>30-Jun-2027</c:v>
                </c:pt>
                <c:pt idx="18">
                  <c:v>30-Sep-2027</c:v>
                </c:pt>
                <c:pt idx="19">
                  <c:v>31-Dec-2027</c:v>
                </c:pt>
                <c:pt idx="20">
                  <c:v>31-Mar-2028</c:v>
                </c:pt>
                <c:pt idx="21">
                  <c:v>30-Jun-2028</c:v>
                </c:pt>
                <c:pt idx="22">
                  <c:v>30-Sep-2028</c:v>
                </c:pt>
                <c:pt idx="23">
                  <c:v>31-Dec-2028</c:v>
                </c:pt>
                <c:pt idx="24">
                  <c:v>31-Mar-2029</c:v>
                </c:pt>
                <c:pt idx="25">
                  <c:v>30-Jun-2029</c:v>
                </c:pt>
                <c:pt idx="26">
                  <c:v>30-Sep-2029</c:v>
                </c:pt>
                <c:pt idx="27">
                  <c:v>31-Dec-2029</c:v>
                </c:pt>
                <c:pt idx="28">
                  <c:v>31-Mar-2030</c:v>
                </c:pt>
                <c:pt idx="29">
                  <c:v>30-Jun-2030</c:v>
                </c:pt>
                <c:pt idx="30">
                  <c:v>30-Sep-2030</c:v>
                </c:pt>
                <c:pt idx="31">
                  <c:v>31-Dec-2030</c:v>
                </c:pt>
                <c:pt idx="32">
                  <c:v>31-Mar-2031</c:v>
                </c:pt>
                <c:pt idx="33">
                  <c:v>30-Jun-2031</c:v>
                </c:pt>
                <c:pt idx="34">
                  <c:v>30-Sep-2031</c:v>
                </c:pt>
                <c:pt idx="35">
                  <c:v>31-Dec-2031</c:v>
                </c:pt>
                <c:pt idx="36">
                  <c:v>31-Mar-2032</c:v>
                </c:pt>
                <c:pt idx="37">
                  <c:v>30-Jun-2032</c:v>
                </c:pt>
                <c:pt idx="38">
                  <c:v>30-Sep-2032</c:v>
                </c:pt>
                <c:pt idx="39">
                  <c:v>31-Dec-2032</c:v>
                </c:pt>
              </c:strCache>
            </c:strRef>
          </c:cat>
          <c:val>
            <c:numRef>
              <c:f>Fund!$W$6:$W$46</c:f>
              <c:numCache>
                <c:formatCode>0.00\x</c:formatCode>
                <c:ptCount val="41"/>
                <c:pt idx="1">
                  <c:v>0.887728459530026</c:v>
                </c:pt>
                <c:pt idx="2">
                  <c:v>0.906480229837009</c:v>
                </c:pt>
                <c:pt idx="3">
                  <c:v>0.925760132946873</c:v>
                </c:pt>
                <c:pt idx="4">
                  <c:v>0.945584902735112</c:v>
                </c:pt>
                <c:pt idx="5">
                  <c:v>0.965971838637176</c:v>
                </c:pt>
                <c:pt idx="6">
                  <c:v>0.986938825559299</c:v>
                </c:pt>
                <c:pt idx="7">
                  <c:v>1.00680348360827</c:v>
                </c:pt>
                <c:pt idx="8">
                  <c:v>1.02455003518502</c:v>
                </c:pt>
                <c:pt idx="9">
                  <c:v>1.04280652967998</c:v>
                </c:pt>
                <c:pt idx="10">
                  <c:v>1.06158931967202</c:v>
                </c:pt>
                <c:pt idx="11">
                  <c:v>1.08091531485061</c:v>
                </c:pt>
                <c:pt idx="12">
                  <c:v>1.10080200174158</c:v>
                </c:pt>
                <c:pt idx="13">
                  <c:v>1.12126746415029</c:v>
                </c:pt>
                <c:pt idx="14">
                  <c:v>1.14233040434873</c:v>
                </c:pt>
                <c:pt idx="15">
                  <c:v>1.16401016503422</c:v>
                </c:pt>
                <c:pt idx="16">
                  <c:v>1.18632675208832</c:v>
                </c:pt>
                <c:pt idx="17">
                  <c:v>1.15883581525746</c:v>
                </c:pt>
                <c:pt idx="18">
                  <c:v>1.11539817300713</c:v>
                </c:pt>
                <c:pt idx="19">
                  <c:v>1.05780108832901</c:v>
                </c:pt>
                <c:pt idx="20">
                  <c:v>0.9883051107939</c:v>
                </c:pt>
                <c:pt idx="21">
                  <c:v>0.766512308203246</c:v>
                </c:pt>
                <c:pt idx="22">
                  <c:v>0.710571826981928</c:v>
                </c:pt>
                <c:pt idx="23">
                  <c:v>0.648276416867762</c:v>
                </c:pt>
                <c:pt idx="24">
                  <c:v>0.582093857238359</c:v>
                </c:pt>
                <c:pt idx="25">
                  <c:v>0.514480812684239</c:v>
                </c:pt>
                <c:pt idx="26">
                  <c:v>0.447729917739864</c:v>
                </c:pt>
                <c:pt idx="27">
                  <c:v>0.375361052880645</c:v>
                </c:pt>
                <c:pt idx="28">
                  <c:v>0.311018941584725</c:v>
                </c:pt>
                <c:pt idx="29">
                  <c:v>0.252843587435295</c:v>
                </c:pt>
                <c:pt idx="30">
                  <c:v>0.201596914400374</c:v>
                </c:pt>
                <c:pt idx="31">
                  <c:v>0.157585279314124</c:v>
                </c:pt>
                <c:pt idx="32">
                  <c:v>0.120718404464504</c:v>
                </c:pt>
                <c:pt idx="33">
                  <c:v>0.0905892126413651</c:v>
                </c:pt>
                <c:pt idx="34">
                  <c:v>0.0665634929692905</c:v>
                </c:pt>
                <c:pt idx="35">
                  <c:v>0.0478691478481098</c:v>
                </c:pt>
                <c:pt idx="36">
                  <c:v>0.0336767343436262</c:v>
                </c:pt>
                <c:pt idx="37">
                  <c:v>0.0231656456214485</c:v>
                </c:pt>
                <c:pt idx="38">
                  <c:v>0.0155730839535977</c:v>
                </c:pt>
                <c:pt idx="39">
                  <c:v>0.0102255264432191</c:v>
                </c:pt>
                <c:pt idx="40">
                  <c:v>0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Fund!X5</c:f>
              <c:strCache>
                <c:ptCount val="1"/>
                <c:pt idx="0">
                  <c:v>TVPI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Fund!$B$7:$B$46</c:f>
              <c:strCache>
                <c:ptCount val="40"/>
                <c:pt idx="0">
                  <c:v>31-Mar-2023</c:v>
                </c:pt>
                <c:pt idx="1">
                  <c:v>30-Jun-2023</c:v>
                </c:pt>
                <c:pt idx="2">
                  <c:v>30-Sep-2023</c:v>
                </c:pt>
                <c:pt idx="3">
                  <c:v>31-Dec-2023</c:v>
                </c:pt>
                <c:pt idx="4">
                  <c:v>31-Mar-2024</c:v>
                </c:pt>
                <c:pt idx="5">
                  <c:v>30-Jun-2024</c:v>
                </c:pt>
                <c:pt idx="6">
                  <c:v>30-Sep-2024</c:v>
                </c:pt>
                <c:pt idx="7">
                  <c:v>31-Dec-2024</c:v>
                </c:pt>
                <c:pt idx="8">
                  <c:v>31-Mar-2025</c:v>
                </c:pt>
                <c:pt idx="9">
                  <c:v>30-Jun-2025</c:v>
                </c:pt>
                <c:pt idx="10">
                  <c:v>30-Sep-2025</c:v>
                </c:pt>
                <c:pt idx="11">
                  <c:v>31-Dec-2025</c:v>
                </c:pt>
                <c:pt idx="12">
                  <c:v>31-Mar-2026</c:v>
                </c:pt>
                <c:pt idx="13">
                  <c:v>30-Jun-2026</c:v>
                </c:pt>
                <c:pt idx="14">
                  <c:v>30-Sep-2026</c:v>
                </c:pt>
                <c:pt idx="15">
                  <c:v>31-Dec-2026</c:v>
                </c:pt>
                <c:pt idx="16">
                  <c:v>31-Mar-2027</c:v>
                </c:pt>
                <c:pt idx="17">
                  <c:v>30-Jun-2027</c:v>
                </c:pt>
                <c:pt idx="18">
                  <c:v>30-Sep-2027</c:v>
                </c:pt>
                <c:pt idx="19">
                  <c:v>31-Dec-2027</c:v>
                </c:pt>
                <c:pt idx="20">
                  <c:v>31-Mar-2028</c:v>
                </c:pt>
                <c:pt idx="21">
                  <c:v>30-Jun-2028</c:v>
                </c:pt>
                <c:pt idx="22">
                  <c:v>30-Sep-2028</c:v>
                </c:pt>
                <c:pt idx="23">
                  <c:v>31-Dec-2028</c:v>
                </c:pt>
                <c:pt idx="24">
                  <c:v>31-Mar-2029</c:v>
                </c:pt>
                <c:pt idx="25">
                  <c:v>30-Jun-2029</c:v>
                </c:pt>
                <c:pt idx="26">
                  <c:v>30-Sep-2029</c:v>
                </c:pt>
                <c:pt idx="27">
                  <c:v>31-Dec-2029</c:v>
                </c:pt>
                <c:pt idx="28">
                  <c:v>31-Mar-2030</c:v>
                </c:pt>
                <c:pt idx="29">
                  <c:v>30-Jun-2030</c:v>
                </c:pt>
                <c:pt idx="30">
                  <c:v>30-Sep-2030</c:v>
                </c:pt>
                <c:pt idx="31">
                  <c:v>31-Dec-2030</c:v>
                </c:pt>
                <c:pt idx="32">
                  <c:v>31-Mar-2031</c:v>
                </c:pt>
                <c:pt idx="33">
                  <c:v>30-Jun-2031</c:v>
                </c:pt>
                <c:pt idx="34">
                  <c:v>30-Sep-2031</c:v>
                </c:pt>
                <c:pt idx="35">
                  <c:v>31-Dec-2031</c:v>
                </c:pt>
                <c:pt idx="36">
                  <c:v>31-Mar-2032</c:v>
                </c:pt>
                <c:pt idx="37">
                  <c:v>30-Jun-2032</c:v>
                </c:pt>
                <c:pt idx="38">
                  <c:v>30-Sep-2032</c:v>
                </c:pt>
                <c:pt idx="39">
                  <c:v>31-Dec-2032</c:v>
                </c:pt>
              </c:strCache>
            </c:strRef>
          </c:cat>
          <c:val>
            <c:numRef>
              <c:f>Fund!$X$6:$X$46</c:f>
              <c:numCache>
                <c:formatCode>0.00\x</c:formatCode>
                <c:ptCount val="41"/>
                <c:pt idx="1">
                  <c:v>0.887728459530026</c:v>
                </c:pt>
                <c:pt idx="2">
                  <c:v>0.906480229837009</c:v>
                </c:pt>
                <c:pt idx="3">
                  <c:v>0.925760132946873</c:v>
                </c:pt>
                <c:pt idx="4">
                  <c:v>0.945584902735112</c:v>
                </c:pt>
                <c:pt idx="5">
                  <c:v>0.965971838637176</c:v>
                </c:pt>
                <c:pt idx="6">
                  <c:v>0.986938825559299</c:v>
                </c:pt>
                <c:pt idx="7">
                  <c:v>1.00680348360827</c:v>
                </c:pt>
                <c:pt idx="8">
                  <c:v>1.02455003518502</c:v>
                </c:pt>
                <c:pt idx="9">
                  <c:v>1.04280652967998</c:v>
                </c:pt>
                <c:pt idx="10">
                  <c:v>1.06158931967202</c:v>
                </c:pt>
                <c:pt idx="11">
                  <c:v>1.08091531485061</c:v>
                </c:pt>
                <c:pt idx="12">
                  <c:v>1.10080200174158</c:v>
                </c:pt>
                <c:pt idx="13">
                  <c:v>1.12126746415029</c:v>
                </c:pt>
                <c:pt idx="14">
                  <c:v>1.14233040434873</c:v>
                </c:pt>
                <c:pt idx="15">
                  <c:v>1.16401016503422</c:v>
                </c:pt>
                <c:pt idx="16">
                  <c:v>1.18632675208832</c:v>
                </c:pt>
                <c:pt idx="17">
                  <c:v>1.20930085816575</c:v>
                </c:pt>
                <c:pt idx="18">
                  <c:v>1.23134305911707</c:v>
                </c:pt>
                <c:pt idx="19">
                  <c:v>1.25200507984033</c:v>
                </c:pt>
                <c:pt idx="20">
                  <c:v>1.27090006200292</c:v>
                </c:pt>
                <c:pt idx="21">
                  <c:v>1.30192093616456</c:v>
                </c:pt>
                <c:pt idx="22">
                  <c:v>1.32944023682651</c:v>
                </c:pt>
                <c:pt idx="23">
                  <c:v>1.35509258114704</c:v>
                </c:pt>
                <c:pt idx="24">
                  <c:v>1.37864873545763</c:v>
                </c:pt>
                <c:pt idx="25">
                  <c:v>1.39996520694312</c:v>
                </c:pt>
                <c:pt idx="26">
                  <c:v>1.4189841483192</c:v>
                </c:pt>
                <c:pt idx="27">
                  <c:v>1.43572790050268</c:v>
                </c:pt>
                <c:pt idx="28">
                  <c:v>1.44986472219304</c:v>
                </c:pt>
                <c:pt idx="29">
                  <c:v>1.46152458908034</c:v>
                </c:pt>
                <c:pt idx="30">
                  <c:v>1.47094490056642</c:v>
                </c:pt>
                <c:pt idx="31">
                  <c:v>1.47839238756231</c:v>
                </c:pt>
                <c:pt idx="32">
                  <c:v>1.48414557468646</c:v>
                </c:pt>
                <c:pt idx="33">
                  <c:v>1.4884795111691</c:v>
                </c:pt>
                <c:pt idx="34">
                  <c:v>1.49165357513754</c:v>
                </c:pt>
                <c:pt idx="35">
                  <c:v>1.49390272973419</c:v>
                </c:pt>
                <c:pt idx="36">
                  <c:v>1.49543221494161</c:v>
                </c:pt>
                <c:pt idx="37">
                  <c:v>1.4964153399801</c:v>
                </c:pt>
                <c:pt idx="38">
                  <c:v>1.49699382346781</c:v>
                </c:pt>
                <c:pt idx="39">
                  <c:v>1.49728001887681</c:v>
                </c:pt>
                <c:pt idx="40">
                  <c:v>1.49736035131375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2767722"/>
        <c:axId val="86632181"/>
      </c:lineChart>
      <c:catAx>
        <c:axId val="22767722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632181"/>
        <c:crosses val="autoZero"/>
        <c:auto val="1"/>
        <c:lblAlgn val="ctr"/>
        <c:lblOffset val="100"/>
        <c:noMultiLvlLbl val="0"/>
      </c:catAx>
      <c:valAx>
        <c:axId val="8663218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x paid-in capital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\x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76772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TVPI over time: with vs without NAV loan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Fund!X5</c:f>
              <c:strCache>
                <c:ptCount val="1"/>
                <c:pt idx="0">
                  <c:v>TVPI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Fund!$B$7:$B$46</c:f>
              <c:strCache>
                <c:ptCount val="40"/>
                <c:pt idx="0">
                  <c:v>31-Mar-2023</c:v>
                </c:pt>
                <c:pt idx="1">
                  <c:v>30-Jun-2023</c:v>
                </c:pt>
                <c:pt idx="2">
                  <c:v>30-Sep-2023</c:v>
                </c:pt>
                <c:pt idx="3">
                  <c:v>31-Dec-2023</c:v>
                </c:pt>
                <c:pt idx="4">
                  <c:v>31-Mar-2024</c:v>
                </c:pt>
                <c:pt idx="5">
                  <c:v>30-Jun-2024</c:v>
                </c:pt>
                <c:pt idx="6">
                  <c:v>30-Sep-2024</c:v>
                </c:pt>
                <c:pt idx="7">
                  <c:v>31-Dec-2024</c:v>
                </c:pt>
                <c:pt idx="8">
                  <c:v>31-Mar-2025</c:v>
                </c:pt>
                <c:pt idx="9">
                  <c:v>30-Jun-2025</c:v>
                </c:pt>
                <c:pt idx="10">
                  <c:v>30-Sep-2025</c:v>
                </c:pt>
                <c:pt idx="11">
                  <c:v>31-Dec-2025</c:v>
                </c:pt>
                <c:pt idx="12">
                  <c:v>31-Mar-2026</c:v>
                </c:pt>
                <c:pt idx="13">
                  <c:v>30-Jun-2026</c:v>
                </c:pt>
                <c:pt idx="14">
                  <c:v>30-Sep-2026</c:v>
                </c:pt>
                <c:pt idx="15">
                  <c:v>31-Dec-2026</c:v>
                </c:pt>
                <c:pt idx="16">
                  <c:v>31-Mar-2027</c:v>
                </c:pt>
                <c:pt idx="17">
                  <c:v>30-Jun-2027</c:v>
                </c:pt>
                <c:pt idx="18">
                  <c:v>30-Sep-2027</c:v>
                </c:pt>
                <c:pt idx="19">
                  <c:v>31-Dec-2027</c:v>
                </c:pt>
                <c:pt idx="20">
                  <c:v>31-Mar-2028</c:v>
                </c:pt>
                <c:pt idx="21">
                  <c:v>30-Jun-2028</c:v>
                </c:pt>
                <c:pt idx="22">
                  <c:v>30-Sep-2028</c:v>
                </c:pt>
                <c:pt idx="23">
                  <c:v>31-Dec-2028</c:v>
                </c:pt>
                <c:pt idx="24">
                  <c:v>31-Mar-2029</c:v>
                </c:pt>
                <c:pt idx="25">
                  <c:v>30-Jun-2029</c:v>
                </c:pt>
                <c:pt idx="26">
                  <c:v>30-Sep-2029</c:v>
                </c:pt>
                <c:pt idx="27">
                  <c:v>31-Dec-2029</c:v>
                </c:pt>
                <c:pt idx="28">
                  <c:v>31-Mar-2030</c:v>
                </c:pt>
                <c:pt idx="29">
                  <c:v>30-Jun-2030</c:v>
                </c:pt>
                <c:pt idx="30">
                  <c:v>30-Sep-2030</c:v>
                </c:pt>
                <c:pt idx="31">
                  <c:v>31-Dec-2030</c:v>
                </c:pt>
                <c:pt idx="32">
                  <c:v>31-Mar-2031</c:v>
                </c:pt>
                <c:pt idx="33">
                  <c:v>30-Jun-2031</c:v>
                </c:pt>
                <c:pt idx="34">
                  <c:v>30-Sep-2031</c:v>
                </c:pt>
                <c:pt idx="35">
                  <c:v>31-Dec-2031</c:v>
                </c:pt>
                <c:pt idx="36">
                  <c:v>31-Mar-2032</c:v>
                </c:pt>
                <c:pt idx="37">
                  <c:v>30-Jun-2032</c:v>
                </c:pt>
                <c:pt idx="38">
                  <c:v>30-Sep-2032</c:v>
                </c:pt>
                <c:pt idx="39">
                  <c:v>31-Dec-2032</c:v>
                </c:pt>
              </c:strCache>
            </c:strRef>
          </c:cat>
          <c:val>
            <c:numRef>
              <c:f>Fund!$X$6:$X$46</c:f>
              <c:numCache>
                <c:formatCode>0.00\x</c:formatCode>
                <c:ptCount val="41"/>
                <c:pt idx="1">
                  <c:v>0.887728459530026</c:v>
                </c:pt>
                <c:pt idx="2">
                  <c:v>0.906480229837009</c:v>
                </c:pt>
                <c:pt idx="3">
                  <c:v>0.925760132946873</c:v>
                </c:pt>
                <c:pt idx="4">
                  <c:v>0.945584902735112</c:v>
                </c:pt>
                <c:pt idx="5">
                  <c:v>0.965971838637176</c:v>
                </c:pt>
                <c:pt idx="6">
                  <c:v>0.986938825559299</c:v>
                </c:pt>
                <c:pt idx="7">
                  <c:v>1.00680348360827</c:v>
                </c:pt>
                <c:pt idx="8">
                  <c:v>1.02455003518502</c:v>
                </c:pt>
                <c:pt idx="9">
                  <c:v>1.04280652967998</c:v>
                </c:pt>
                <c:pt idx="10">
                  <c:v>1.06158931967202</c:v>
                </c:pt>
                <c:pt idx="11">
                  <c:v>1.08091531485061</c:v>
                </c:pt>
                <c:pt idx="12">
                  <c:v>1.10080200174158</c:v>
                </c:pt>
                <c:pt idx="13">
                  <c:v>1.12126746415029</c:v>
                </c:pt>
                <c:pt idx="14">
                  <c:v>1.14233040434873</c:v>
                </c:pt>
                <c:pt idx="15">
                  <c:v>1.16401016503422</c:v>
                </c:pt>
                <c:pt idx="16">
                  <c:v>1.18632675208832</c:v>
                </c:pt>
                <c:pt idx="17">
                  <c:v>1.20930085816575</c:v>
                </c:pt>
                <c:pt idx="18">
                  <c:v>1.23134305911707</c:v>
                </c:pt>
                <c:pt idx="19">
                  <c:v>1.25200507984033</c:v>
                </c:pt>
                <c:pt idx="20">
                  <c:v>1.27090006200292</c:v>
                </c:pt>
                <c:pt idx="21">
                  <c:v>1.30192093616456</c:v>
                </c:pt>
                <c:pt idx="22">
                  <c:v>1.32944023682651</c:v>
                </c:pt>
                <c:pt idx="23">
                  <c:v>1.35509258114704</c:v>
                </c:pt>
                <c:pt idx="24">
                  <c:v>1.37864873545763</c:v>
                </c:pt>
                <c:pt idx="25">
                  <c:v>1.39996520694312</c:v>
                </c:pt>
                <c:pt idx="26">
                  <c:v>1.4189841483192</c:v>
                </c:pt>
                <c:pt idx="27">
                  <c:v>1.43572790050268</c:v>
                </c:pt>
                <c:pt idx="28">
                  <c:v>1.44986472219304</c:v>
                </c:pt>
                <c:pt idx="29">
                  <c:v>1.46152458908034</c:v>
                </c:pt>
                <c:pt idx="30">
                  <c:v>1.47094490056642</c:v>
                </c:pt>
                <c:pt idx="31">
                  <c:v>1.47839238756231</c:v>
                </c:pt>
                <c:pt idx="32">
                  <c:v>1.48414557468646</c:v>
                </c:pt>
                <c:pt idx="33">
                  <c:v>1.4884795111691</c:v>
                </c:pt>
                <c:pt idx="34">
                  <c:v>1.49165357513754</c:v>
                </c:pt>
                <c:pt idx="35">
                  <c:v>1.49390272973419</c:v>
                </c:pt>
                <c:pt idx="36">
                  <c:v>1.49543221494161</c:v>
                </c:pt>
                <c:pt idx="37">
                  <c:v>1.4964153399801</c:v>
                </c:pt>
                <c:pt idx="38">
                  <c:v>1.49699382346781</c:v>
                </c:pt>
                <c:pt idx="39">
                  <c:v>1.49728001887681</c:v>
                </c:pt>
                <c:pt idx="40">
                  <c:v>1.49736035131375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Fund!AW5</c:f>
              <c:strCache>
                <c:ptCount val="1"/>
                <c:pt idx="0">
                  <c:v>TVPI (no-loan case)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Fund!$B$7:$B$46</c:f>
              <c:strCache>
                <c:ptCount val="40"/>
                <c:pt idx="0">
                  <c:v>31-Mar-2023</c:v>
                </c:pt>
                <c:pt idx="1">
                  <c:v>30-Jun-2023</c:v>
                </c:pt>
                <c:pt idx="2">
                  <c:v>30-Sep-2023</c:v>
                </c:pt>
                <c:pt idx="3">
                  <c:v>31-Dec-2023</c:v>
                </c:pt>
                <c:pt idx="4">
                  <c:v>31-Mar-2024</c:v>
                </c:pt>
                <c:pt idx="5">
                  <c:v>30-Jun-2024</c:v>
                </c:pt>
                <c:pt idx="6">
                  <c:v>30-Sep-2024</c:v>
                </c:pt>
                <c:pt idx="7">
                  <c:v>31-Dec-2024</c:v>
                </c:pt>
                <c:pt idx="8">
                  <c:v>31-Mar-2025</c:v>
                </c:pt>
                <c:pt idx="9">
                  <c:v>30-Jun-2025</c:v>
                </c:pt>
                <c:pt idx="10">
                  <c:v>30-Sep-2025</c:v>
                </c:pt>
                <c:pt idx="11">
                  <c:v>31-Dec-2025</c:v>
                </c:pt>
                <c:pt idx="12">
                  <c:v>31-Mar-2026</c:v>
                </c:pt>
                <c:pt idx="13">
                  <c:v>30-Jun-2026</c:v>
                </c:pt>
                <c:pt idx="14">
                  <c:v>30-Sep-2026</c:v>
                </c:pt>
                <c:pt idx="15">
                  <c:v>31-Dec-2026</c:v>
                </c:pt>
                <c:pt idx="16">
                  <c:v>31-Mar-2027</c:v>
                </c:pt>
                <c:pt idx="17">
                  <c:v>30-Jun-2027</c:v>
                </c:pt>
                <c:pt idx="18">
                  <c:v>30-Sep-2027</c:v>
                </c:pt>
                <c:pt idx="19">
                  <c:v>31-Dec-2027</c:v>
                </c:pt>
                <c:pt idx="20">
                  <c:v>31-Mar-2028</c:v>
                </c:pt>
                <c:pt idx="21">
                  <c:v>30-Jun-2028</c:v>
                </c:pt>
                <c:pt idx="22">
                  <c:v>30-Sep-2028</c:v>
                </c:pt>
                <c:pt idx="23">
                  <c:v>31-Dec-2028</c:v>
                </c:pt>
                <c:pt idx="24">
                  <c:v>31-Mar-2029</c:v>
                </c:pt>
                <c:pt idx="25">
                  <c:v>30-Jun-2029</c:v>
                </c:pt>
                <c:pt idx="26">
                  <c:v>30-Sep-2029</c:v>
                </c:pt>
                <c:pt idx="27">
                  <c:v>31-Dec-2029</c:v>
                </c:pt>
                <c:pt idx="28">
                  <c:v>31-Mar-2030</c:v>
                </c:pt>
                <c:pt idx="29">
                  <c:v>30-Jun-2030</c:v>
                </c:pt>
                <c:pt idx="30">
                  <c:v>30-Sep-2030</c:v>
                </c:pt>
                <c:pt idx="31">
                  <c:v>31-Dec-2030</c:v>
                </c:pt>
                <c:pt idx="32">
                  <c:v>31-Mar-2031</c:v>
                </c:pt>
                <c:pt idx="33">
                  <c:v>30-Jun-2031</c:v>
                </c:pt>
                <c:pt idx="34">
                  <c:v>30-Sep-2031</c:v>
                </c:pt>
                <c:pt idx="35">
                  <c:v>31-Dec-2031</c:v>
                </c:pt>
                <c:pt idx="36">
                  <c:v>31-Mar-2032</c:v>
                </c:pt>
                <c:pt idx="37">
                  <c:v>30-Jun-2032</c:v>
                </c:pt>
                <c:pt idx="38">
                  <c:v>30-Sep-2032</c:v>
                </c:pt>
                <c:pt idx="39">
                  <c:v>31-Dec-2032</c:v>
                </c:pt>
              </c:strCache>
            </c:strRef>
          </c:cat>
          <c:val>
            <c:numRef>
              <c:f>Fund!$AW$6:$AW$46</c:f>
              <c:numCache>
                <c:formatCode>0.00\x</c:formatCode>
                <c:ptCount val="41"/>
                <c:pt idx="1">
                  <c:v>0.887728459530026</c:v>
                </c:pt>
                <c:pt idx="2">
                  <c:v>0.906480229837009</c:v>
                </c:pt>
                <c:pt idx="3">
                  <c:v>0.925760132946873</c:v>
                </c:pt>
                <c:pt idx="4">
                  <c:v>0.945584902735112</c:v>
                </c:pt>
                <c:pt idx="5">
                  <c:v>0.965971838637176</c:v>
                </c:pt>
                <c:pt idx="6">
                  <c:v>0.986938825559299</c:v>
                </c:pt>
                <c:pt idx="7">
                  <c:v>1.00680348360827</c:v>
                </c:pt>
                <c:pt idx="8">
                  <c:v>1.02455003518502</c:v>
                </c:pt>
                <c:pt idx="9">
                  <c:v>1.04280652967998</c:v>
                </c:pt>
                <c:pt idx="10">
                  <c:v>1.06158931967202</c:v>
                </c:pt>
                <c:pt idx="11">
                  <c:v>1.08091531485061</c:v>
                </c:pt>
                <c:pt idx="12">
                  <c:v>1.10080200174158</c:v>
                </c:pt>
                <c:pt idx="13">
                  <c:v>1.12126746415029</c:v>
                </c:pt>
                <c:pt idx="14">
                  <c:v>1.14233040434873</c:v>
                </c:pt>
                <c:pt idx="15">
                  <c:v>1.16401016503422</c:v>
                </c:pt>
                <c:pt idx="16">
                  <c:v>1.18632675208832</c:v>
                </c:pt>
                <c:pt idx="17">
                  <c:v>1.20930085816575</c:v>
                </c:pt>
                <c:pt idx="18">
                  <c:v>1.23134305911707</c:v>
                </c:pt>
                <c:pt idx="19">
                  <c:v>1.25200507984033</c:v>
                </c:pt>
                <c:pt idx="20">
                  <c:v>1.27090006200292</c:v>
                </c:pt>
                <c:pt idx="21">
                  <c:v>1.30310963151832</c:v>
                </c:pt>
                <c:pt idx="22">
                  <c:v>1.33330349672622</c:v>
                </c:pt>
                <c:pt idx="23">
                  <c:v>1.3611296469014</c:v>
                </c:pt>
                <c:pt idx="24">
                  <c:v>1.38633192054004</c:v>
                </c:pt>
                <c:pt idx="25">
                  <c:v>1.40875607906993</c:v>
                </c:pt>
                <c:pt idx="26">
                  <c:v>1.42834913039418</c:v>
                </c:pt>
                <c:pt idx="27">
                  <c:v>1.44515237350791</c:v>
                </c:pt>
                <c:pt idx="28">
                  <c:v>1.45928919519826</c:v>
                </c:pt>
                <c:pt idx="29">
                  <c:v>1.47094906208557</c:v>
                </c:pt>
                <c:pt idx="30">
                  <c:v>1.48036937357164</c:v>
                </c:pt>
                <c:pt idx="31">
                  <c:v>1.48781686056754</c:v>
                </c:pt>
                <c:pt idx="32">
                  <c:v>1.49357004769168</c:v>
                </c:pt>
                <c:pt idx="33">
                  <c:v>1.49790398417433</c:v>
                </c:pt>
                <c:pt idx="34">
                  <c:v>1.50107804814277</c:v>
                </c:pt>
                <c:pt idx="35">
                  <c:v>1.50332720273941</c:v>
                </c:pt>
                <c:pt idx="36">
                  <c:v>1.50485668794683</c:v>
                </c:pt>
                <c:pt idx="37">
                  <c:v>1.50583981298532</c:v>
                </c:pt>
                <c:pt idx="38">
                  <c:v>1.50641829647303</c:v>
                </c:pt>
                <c:pt idx="39">
                  <c:v>1.50670449188203</c:v>
                </c:pt>
                <c:pt idx="40">
                  <c:v>1.50678482431897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0160699"/>
        <c:axId val="14762546"/>
      </c:lineChart>
      <c:catAx>
        <c:axId val="20160699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762546"/>
        <c:crosses val="autoZero"/>
        <c:auto val="1"/>
        <c:lblAlgn val="ctr"/>
        <c:lblOffset val="100"/>
        <c:noMultiLvlLbl val="0"/>
      </c:catAx>
      <c:valAx>
        <c:axId val="1476254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x paid-in capital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\x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16069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37</xdr:row>
      <xdr:rowOff>160560</xdr:rowOff>
    </xdr:from>
    <xdr:to>
      <xdr:col>2</xdr:col>
      <xdr:colOff>2406600</xdr:colOff>
      <xdr:row>53</xdr:row>
      <xdr:rowOff>172080</xdr:rowOff>
    </xdr:to>
    <xdr:graphicFrame>
      <xdr:nvGraphicFramePr>
        <xdr:cNvPr id="0" name="Chart 1"/>
        <xdr:cNvGraphicFramePr/>
      </xdr:nvGraphicFramePr>
      <xdr:xfrm>
        <a:off x="0" y="7238880"/>
        <a:ext cx="71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34</xdr:row>
      <xdr:rowOff>160560</xdr:rowOff>
    </xdr:from>
    <xdr:to>
      <xdr:col>4</xdr:col>
      <xdr:colOff>151200</xdr:colOff>
      <xdr:row>50</xdr:row>
      <xdr:rowOff>172440</xdr:rowOff>
    </xdr:to>
    <xdr:graphicFrame>
      <xdr:nvGraphicFramePr>
        <xdr:cNvPr id="1" name="Chart 1"/>
        <xdr:cNvGraphicFramePr/>
      </xdr:nvGraphicFramePr>
      <xdr:xfrm>
        <a:off x="0" y="6667560"/>
        <a:ext cx="71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10"/>
  </cols>
  <sheetData>
    <row r="1" customFormat="false" ht="18.5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48" hidden="false" customHeight="true" outlineLevel="0" collapsed="false">
      <c r="A4" s="3" t="s">
        <v>2</v>
      </c>
      <c r="B4" s="4" t="s">
        <v>3</v>
      </c>
    </row>
    <row r="5" customFormat="false" ht="33.75" hidden="false" customHeight="true" outlineLevel="0" collapsed="false">
      <c r="A5" s="3" t="s">
        <v>4</v>
      </c>
      <c r="B5" s="4" t="s">
        <v>5</v>
      </c>
    </row>
    <row r="6" customFormat="false" ht="33.75" hidden="false" customHeight="true" outlineLevel="0" collapsed="false">
      <c r="A6" s="3" t="s">
        <v>6</v>
      </c>
      <c r="B6" s="4" t="s">
        <v>7</v>
      </c>
    </row>
    <row r="7" customFormat="false" ht="33.75" hidden="false" customHeight="true" outlineLevel="0" collapsed="false">
      <c r="A7" s="3" t="s">
        <v>8</v>
      </c>
      <c r="B7" s="4" t="s">
        <v>9</v>
      </c>
    </row>
    <row r="8" customFormat="false" ht="61.5" hidden="false" customHeight="true" outlineLevel="0" collapsed="false">
      <c r="A8" s="3" t="s">
        <v>10</v>
      </c>
      <c r="B8" s="4" t="s">
        <v>11</v>
      </c>
    </row>
    <row r="9" customFormat="false" ht="33.75" hidden="false" customHeight="true" outlineLevel="0" collapsed="false">
      <c r="A9" s="3" t="s">
        <v>12</v>
      </c>
      <c r="B9" s="4" t="s">
        <v>13</v>
      </c>
    </row>
    <row r="10" customFormat="false" ht="61.5" hidden="false" customHeight="true" outlineLevel="0" collapsed="false">
      <c r="A10" s="3" t="s">
        <v>14</v>
      </c>
      <c r="B10" s="4" t="s">
        <v>15</v>
      </c>
    </row>
    <row r="12" customFormat="false" ht="15" hidden="false" customHeight="false" outlineLevel="0" collapsed="false">
      <c r="A12" s="5" t="s">
        <v>16</v>
      </c>
    </row>
    <row r="13" customFormat="false" ht="15" hidden="false" customHeight="false" outlineLevel="0" collapsed="false">
      <c r="A13" s="6" t="s">
        <v>17</v>
      </c>
      <c r="B13" s="7" t="n">
        <f aca="false">Returns!B4</f>
        <v>47118</v>
      </c>
    </row>
    <row r="14" customFormat="false" ht="15" hidden="false" customHeight="false" outlineLevel="0" collapsed="false">
      <c r="A14" s="6" t="s">
        <v>18</v>
      </c>
      <c r="B14" s="8" t="n">
        <f aca="false">Returns!B10</f>
        <v>95.75</v>
      </c>
    </row>
    <row r="15" customFormat="false" ht="15" hidden="false" customHeight="false" outlineLevel="0" collapsed="false">
      <c r="A15" s="6" t="s">
        <v>19</v>
      </c>
      <c r="B15" s="8" t="n">
        <f aca="false">Returns!B13</f>
        <v>76.2701295894955</v>
      </c>
    </row>
    <row r="16" customFormat="false" ht="15" hidden="false" customHeight="false" outlineLevel="0" collapsed="false">
      <c r="A16" s="6" t="s">
        <v>20</v>
      </c>
      <c r="B16" s="8" t="n">
        <f aca="false">Returns!B14</f>
        <v>55.7354868305729</v>
      </c>
    </row>
    <row r="17" customFormat="false" ht="15" hidden="false" customHeight="false" outlineLevel="0" collapsed="false">
      <c r="A17" s="6" t="s">
        <v>21</v>
      </c>
      <c r="B17" s="9" t="n">
        <f aca="false">Returns!B15</f>
        <v>0.796554878219274</v>
      </c>
    </row>
    <row r="18" customFormat="false" ht="15" hidden="false" customHeight="false" outlineLevel="0" collapsed="false">
      <c r="A18" s="6" t="s">
        <v>22</v>
      </c>
      <c r="B18" s="9" t="n">
        <f aca="false">Returns!B16</f>
        <v>0.582093857238359</v>
      </c>
    </row>
    <row r="19" customFormat="false" ht="15" hidden="false" customHeight="false" outlineLevel="0" collapsed="false">
      <c r="A19" s="6" t="s">
        <v>23</v>
      </c>
      <c r="B19" s="9" t="n">
        <f aca="false">Returns!B17</f>
        <v>1.37864873545763</v>
      </c>
    </row>
    <row r="20" customFormat="false" ht="15" hidden="false" customHeight="false" outlineLevel="0" collapsed="false">
      <c r="A20" s="6" t="s">
        <v>24</v>
      </c>
      <c r="B20" s="10" t="n">
        <f aca="false">Returns!B18</f>
        <v>0.111992382180144</v>
      </c>
    </row>
    <row r="21" customFormat="false" ht="15" hidden="false" customHeight="false" outlineLevel="0" collapsed="false">
      <c r="A21" s="6" t="s">
        <v>25</v>
      </c>
      <c r="B21" s="10" t="n">
        <f aca="false">Returns!B26</f>
        <v>0.179756985128796</v>
      </c>
    </row>
    <row r="22" customFormat="false" ht="15" hidden="false" customHeight="false" outlineLevel="0" collapsed="false">
      <c r="A22" s="6" t="s">
        <v>26</v>
      </c>
      <c r="B22" s="11" t="n">
        <f aca="false">Inputs!B35</f>
        <v>1</v>
      </c>
    </row>
    <row r="23" customFormat="false" ht="15" hidden="false" customHeight="false" outlineLevel="0" collapsed="false">
      <c r="A23" s="6" t="s">
        <v>27</v>
      </c>
      <c r="B23" s="9" t="n">
        <f aca="false">'NAV Loan'!C14</f>
        <v>1.38633192054004</v>
      </c>
    </row>
    <row r="24" customFormat="false" ht="15" hidden="false" customHeight="false" outlineLevel="0" collapsed="false">
      <c r="A24" s="6" t="s">
        <v>28</v>
      </c>
      <c r="B24" s="10" t="n">
        <f aca="false">'NAV Loan'!C15</f>
        <v>0.11151399435171</v>
      </c>
    </row>
    <row r="25" customFormat="false" ht="15" hidden="false" customHeight="false" outlineLevel="0" collapsed="false">
      <c r="A25" s="6" t="s">
        <v>29</v>
      </c>
      <c r="B25" s="12" t="str">
        <f aca="false">Checks!B21</f>
        <v>ALL CHECKS PASS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90"/>
  </cols>
  <sheetData>
    <row r="1" customFormat="false" ht="17.35" hidden="false" customHeight="false" outlineLevel="0" collapsed="false">
      <c r="A1" s="13" t="s">
        <v>30</v>
      </c>
    </row>
    <row r="2" customFormat="false" ht="15" hidden="false" customHeight="false" outlineLevel="0" collapsed="false">
      <c r="A2" s="2" t="s">
        <v>31</v>
      </c>
    </row>
    <row r="4" customFormat="false" ht="15" hidden="false" customHeight="false" outlineLevel="0" collapsed="false">
      <c r="A4" s="5" t="s">
        <v>32</v>
      </c>
      <c r="B4" s="14" t="s">
        <v>33</v>
      </c>
    </row>
    <row r="5" customFormat="false" ht="15" hidden="false" customHeight="false" outlineLevel="0" collapsed="false">
      <c r="A5" s="6" t="s">
        <v>34</v>
      </c>
      <c r="B5" s="14" t="s">
        <v>35</v>
      </c>
    </row>
    <row r="8" customFormat="false" ht="23.85" hidden="false" customHeight="false" outlineLevel="0" collapsed="false">
      <c r="A8" s="15" t="s">
        <v>36</v>
      </c>
      <c r="B8" s="16" t="s">
        <v>37</v>
      </c>
      <c r="C8" s="16" t="s">
        <v>38</v>
      </c>
    </row>
    <row r="9" customFormat="false" ht="15" hidden="false" customHeight="false" outlineLevel="0" collapsed="false">
      <c r="A9" s="14" t="s">
        <v>39</v>
      </c>
      <c r="B9" s="17" t="n">
        <v>40</v>
      </c>
      <c r="C9" s="18" t="n">
        <f aca="false">B9/$B$13</f>
        <v>0.4</v>
      </c>
      <c r="D9" s="2" t="s">
        <v>40</v>
      </c>
    </row>
    <row r="10" customFormat="false" ht="15" hidden="false" customHeight="false" outlineLevel="0" collapsed="false">
      <c r="A10" s="14" t="s">
        <v>41</v>
      </c>
      <c r="B10" s="17" t="n">
        <v>30</v>
      </c>
      <c r="C10" s="18" t="n">
        <f aca="false">B10/$B$13</f>
        <v>0.3</v>
      </c>
    </row>
    <row r="11" customFormat="false" ht="15" hidden="false" customHeight="false" outlineLevel="0" collapsed="false">
      <c r="A11" s="14" t="s">
        <v>42</v>
      </c>
      <c r="B11" s="17" t="n">
        <v>25</v>
      </c>
      <c r="C11" s="18" t="n">
        <f aca="false">B11/$B$13</f>
        <v>0.25</v>
      </c>
    </row>
    <row r="12" customFormat="false" ht="15" hidden="false" customHeight="false" outlineLevel="0" collapsed="false">
      <c r="A12" s="14" t="s">
        <v>43</v>
      </c>
      <c r="B12" s="17" t="n">
        <v>5</v>
      </c>
      <c r="C12" s="18" t="n">
        <f aca="false">B12/$B$13</f>
        <v>0.05</v>
      </c>
    </row>
    <row r="13" customFormat="false" ht="15" hidden="false" customHeight="false" outlineLevel="0" collapsed="false">
      <c r="A13" s="19" t="s">
        <v>44</v>
      </c>
      <c r="B13" s="20" t="n">
        <f aca="false">SUM(B9:B12)</f>
        <v>100</v>
      </c>
      <c r="C13" s="21" t="n">
        <f aca="false">SUM(C9:C12)</f>
        <v>1</v>
      </c>
    </row>
    <row r="16" customFormat="false" ht="15" hidden="false" customHeight="false" outlineLevel="0" collapsed="false">
      <c r="A16" s="15" t="s">
        <v>45</v>
      </c>
      <c r="B16" s="16" t="s">
        <v>46</v>
      </c>
    </row>
    <row r="17" customFormat="false" ht="15" hidden="false" customHeight="false" outlineLevel="0" collapsed="false">
      <c r="A17" s="6" t="s">
        <v>47</v>
      </c>
      <c r="B17" s="22" t="n">
        <v>45016</v>
      </c>
      <c r="D17" s="2" t="s">
        <v>48</v>
      </c>
    </row>
    <row r="18" customFormat="false" ht="15" hidden="false" customHeight="false" outlineLevel="0" collapsed="false">
      <c r="A18" s="6" t="s">
        <v>49</v>
      </c>
      <c r="B18" s="23" t="n">
        <v>20</v>
      </c>
      <c r="D18" s="2" t="s">
        <v>50</v>
      </c>
    </row>
    <row r="19" customFormat="false" ht="15" hidden="false" customHeight="false" outlineLevel="0" collapsed="false">
      <c r="A19" s="6" t="s">
        <v>51</v>
      </c>
      <c r="B19" s="24" t="n">
        <v>0.85</v>
      </c>
      <c r="D19" s="2" t="s">
        <v>52</v>
      </c>
    </row>
    <row r="20" customFormat="false" ht="15" hidden="false" customHeight="false" outlineLevel="0" collapsed="false">
      <c r="A20" s="6" t="s">
        <v>53</v>
      </c>
      <c r="B20" s="25" t="n">
        <v>0.02</v>
      </c>
      <c r="D20" s="2" t="s">
        <v>54</v>
      </c>
    </row>
    <row r="21" customFormat="false" ht="15" hidden="false" customHeight="false" outlineLevel="0" collapsed="false">
      <c r="A21" s="6" t="s">
        <v>55</v>
      </c>
      <c r="B21" s="26" t="n">
        <v>0.015</v>
      </c>
      <c r="D21" s="2" t="s">
        <v>56</v>
      </c>
    </row>
    <row r="22" customFormat="false" ht="15" hidden="false" customHeight="false" outlineLevel="0" collapsed="false">
      <c r="A22" s="6" t="s">
        <v>57</v>
      </c>
      <c r="B22" s="26" t="n">
        <v>0.0015</v>
      </c>
      <c r="D22" s="2" t="s">
        <v>58</v>
      </c>
    </row>
    <row r="23" customFormat="false" ht="15" hidden="false" customHeight="false" outlineLevel="0" collapsed="false">
      <c r="A23" s="6" t="s">
        <v>59</v>
      </c>
      <c r="B23" s="24" t="n">
        <v>0.2</v>
      </c>
      <c r="D23" s="2" t="s">
        <v>60</v>
      </c>
    </row>
    <row r="24" customFormat="false" ht="15" hidden="false" customHeight="false" outlineLevel="0" collapsed="false">
      <c r="A24" s="6" t="s">
        <v>61</v>
      </c>
      <c r="B24" s="24" t="n">
        <v>0.18</v>
      </c>
      <c r="D24" s="2" t="s">
        <v>62</v>
      </c>
    </row>
    <row r="25" customFormat="false" ht="15" hidden="false" customHeight="false" outlineLevel="0" collapsed="false">
      <c r="A25" s="6" t="s">
        <v>63</v>
      </c>
      <c r="B25" s="23" t="n">
        <v>17</v>
      </c>
      <c r="D25" s="2" t="s">
        <v>64</v>
      </c>
    </row>
    <row r="26" customFormat="false" ht="15" hidden="false" customHeight="false" outlineLevel="0" collapsed="false">
      <c r="A26" s="6" t="s">
        <v>65</v>
      </c>
      <c r="B26" s="27" t="n">
        <v>0.04</v>
      </c>
      <c r="D26" s="2" t="s">
        <v>66</v>
      </c>
    </row>
    <row r="27" customFormat="false" ht="15" hidden="false" customHeight="false" outlineLevel="0" collapsed="false">
      <c r="A27" s="6" t="s">
        <v>67</v>
      </c>
      <c r="B27" s="27" t="n">
        <v>0.015</v>
      </c>
      <c r="D27" s="2" t="s">
        <v>68</v>
      </c>
    </row>
    <row r="30" customFormat="false" ht="15" hidden="false" customHeight="false" outlineLevel="0" collapsed="false">
      <c r="A30" s="15" t="s">
        <v>69</v>
      </c>
      <c r="B30" s="16" t="s">
        <v>46</v>
      </c>
    </row>
    <row r="31" customFormat="false" ht="15" hidden="false" customHeight="false" outlineLevel="0" collapsed="false">
      <c r="A31" s="5" t="s">
        <v>70</v>
      </c>
      <c r="B31" s="28" t="n">
        <v>47118</v>
      </c>
      <c r="D31" s="2" t="s">
        <v>71</v>
      </c>
    </row>
    <row r="34" customFormat="false" ht="15" hidden="false" customHeight="false" outlineLevel="0" collapsed="false">
      <c r="A34" s="15" t="s">
        <v>72</v>
      </c>
      <c r="B34" s="16" t="s">
        <v>46</v>
      </c>
    </row>
    <row r="35" customFormat="false" ht="15" hidden="false" customHeight="false" outlineLevel="0" collapsed="false">
      <c r="A35" s="6" t="s">
        <v>73</v>
      </c>
      <c r="B35" s="29" t="n">
        <v>1</v>
      </c>
      <c r="D35" s="2" t="s">
        <v>74</v>
      </c>
    </row>
    <row r="36" customFormat="false" ht="15" hidden="false" customHeight="false" outlineLevel="0" collapsed="false">
      <c r="A36" s="6" t="s">
        <v>75</v>
      </c>
      <c r="B36" s="29" t="n">
        <v>21</v>
      </c>
      <c r="D36" s="2" t="s">
        <v>76</v>
      </c>
    </row>
    <row r="37" customFormat="false" ht="15" hidden="false" customHeight="false" outlineLevel="0" collapsed="false">
      <c r="A37" s="6" t="s">
        <v>77</v>
      </c>
      <c r="B37" s="24" t="n">
        <v>0.15</v>
      </c>
      <c r="D37" s="2" t="s">
        <v>78</v>
      </c>
    </row>
    <row r="38" customFormat="false" ht="15" hidden="false" customHeight="false" outlineLevel="0" collapsed="false">
      <c r="A38" s="6" t="s">
        <v>79</v>
      </c>
      <c r="B38" s="17" t="n">
        <v>15</v>
      </c>
      <c r="D38" s="2" t="s">
        <v>80</v>
      </c>
    </row>
    <row r="39" customFormat="false" ht="15" hidden="false" customHeight="false" outlineLevel="0" collapsed="false">
      <c r="A39" s="6" t="s">
        <v>81</v>
      </c>
      <c r="B39" s="25" t="n">
        <v>0.09</v>
      </c>
      <c r="D39" s="2" t="s">
        <v>82</v>
      </c>
    </row>
    <row r="40" customFormat="false" ht="15" hidden="false" customHeight="false" outlineLevel="0" collapsed="false">
      <c r="A40" s="6" t="s">
        <v>83</v>
      </c>
      <c r="B40" s="26" t="n">
        <v>0.01</v>
      </c>
      <c r="D40" s="2" t="s">
        <v>84</v>
      </c>
    </row>
    <row r="41" customFormat="false" ht="15" hidden="false" customHeight="false" outlineLevel="0" collapsed="false">
      <c r="A41" s="6" t="s">
        <v>85</v>
      </c>
      <c r="B41" s="24" t="n">
        <v>0.25</v>
      </c>
      <c r="D41" s="2" t="s">
        <v>86</v>
      </c>
    </row>
    <row r="42" customFormat="false" ht="15" hidden="false" customHeight="false" outlineLevel="0" collapsed="false">
      <c r="D42" s="2" t="s">
        <v>87</v>
      </c>
    </row>
  </sheetData>
  <dataValidations count="2">
    <dataValidation allowBlank="false" errorStyle="stop" operator="between" showDropDown="false" showErrorMessage="false" showInputMessage="false" sqref="B31" type="list">
      <formula1>Fund!$B$7:$B$46</formula1>
      <formula2>0</formula2>
    </dataValidation>
    <dataValidation allowBlank="false" errorStyle="stop" operator="between" showDropDown="false" showErrorMessage="false" showInputMessage="false" sqref="B35" type="list">
      <formula1>"0,1"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W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3"/>
    <col collapsed="false" customWidth="true" hidden="false" outlineLevel="0" max="49" min="3" style="0" width="14"/>
  </cols>
  <sheetData>
    <row r="1" customFormat="false" ht="17.35" hidden="false" customHeight="false" outlineLevel="0" collapsed="false">
      <c r="A1" s="13" t="s">
        <v>88</v>
      </c>
    </row>
    <row r="2" customFormat="false" ht="15" hidden="false" customHeight="false" outlineLevel="0" collapsed="false">
      <c r="A2" s="2" t="s">
        <v>89</v>
      </c>
    </row>
    <row r="3" customFormat="false" ht="15" hidden="false" customHeight="false" outlineLevel="0" collapsed="false">
      <c r="D3" s="2" t="s">
        <v>90</v>
      </c>
    </row>
    <row r="5" customFormat="false" ht="54" hidden="false" customHeight="true" outlineLevel="0" collapsed="false">
      <c r="A5" s="15" t="s">
        <v>91</v>
      </c>
      <c r="B5" s="16" t="s">
        <v>92</v>
      </c>
      <c r="C5" s="16" t="s">
        <v>93</v>
      </c>
      <c r="D5" s="16" t="s">
        <v>94</v>
      </c>
      <c r="E5" s="16" t="s">
        <v>95</v>
      </c>
      <c r="F5" s="16" t="s">
        <v>96</v>
      </c>
      <c r="G5" s="16" t="s">
        <v>97</v>
      </c>
      <c r="H5" s="16" t="s">
        <v>98</v>
      </c>
      <c r="I5" s="16" t="s">
        <v>99</v>
      </c>
      <c r="J5" s="16" t="s">
        <v>100</v>
      </c>
      <c r="K5" s="16" t="s">
        <v>101</v>
      </c>
      <c r="L5" s="16" t="s">
        <v>6</v>
      </c>
      <c r="M5" s="16" t="s">
        <v>102</v>
      </c>
      <c r="N5" s="16" t="s">
        <v>103</v>
      </c>
      <c r="O5" s="16" t="s">
        <v>104</v>
      </c>
      <c r="P5" s="16" t="s">
        <v>105</v>
      </c>
      <c r="Q5" s="16" t="s">
        <v>106</v>
      </c>
      <c r="R5" s="16" t="s">
        <v>107</v>
      </c>
      <c r="S5" s="16" t="s">
        <v>108</v>
      </c>
      <c r="T5" s="16" t="s">
        <v>109</v>
      </c>
      <c r="U5" s="16" t="s">
        <v>110</v>
      </c>
      <c r="V5" s="16" t="s">
        <v>21</v>
      </c>
      <c r="W5" s="16" t="s">
        <v>22</v>
      </c>
      <c r="X5" s="16" t="s">
        <v>23</v>
      </c>
      <c r="Y5" s="16" t="s">
        <v>111</v>
      </c>
      <c r="Z5" s="16" t="s">
        <v>112</v>
      </c>
      <c r="AA5" s="16" t="s">
        <v>113</v>
      </c>
      <c r="AB5" s="16" t="s">
        <v>114</v>
      </c>
      <c r="AC5" s="16" t="s">
        <v>115</v>
      </c>
      <c r="AD5" s="16" t="s">
        <v>116</v>
      </c>
      <c r="AE5" s="16" t="s">
        <v>117</v>
      </c>
      <c r="AF5" s="16" t="s">
        <v>118</v>
      </c>
      <c r="AG5" s="16" t="s">
        <v>119</v>
      </c>
      <c r="AH5" s="16" t="s">
        <v>120</v>
      </c>
      <c r="AI5" s="16" t="s">
        <v>121</v>
      </c>
      <c r="AJ5" s="16" t="s">
        <v>122</v>
      </c>
      <c r="AK5" s="16" t="s">
        <v>123</v>
      </c>
      <c r="AL5" s="16" t="s">
        <v>124</v>
      </c>
      <c r="AM5" s="16" t="s">
        <v>125</v>
      </c>
      <c r="AN5" s="16" t="s">
        <v>126</v>
      </c>
      <c r="AO5" s="16" t="s">
        <v>127</v>
      </c>
      <c r="AP5" s="16" t="s">
        <v>128</v>
      </c>
      <c r="AQ5" s="16" t="s">
        <v>129</v>
      </c>
      <c r="AR5" s="16" t="s">
        <v>130</v>
      </c>
      <c r="AS5" s="16" t="s">
        <v>131</v>
      </c>
      <c r="AT5" s="16" t="s">
        <v>132</v>
      </c>
      <c r="AU5" s="16" t="s">
        <v>133</v>
      </c>
      <c r="AV5" s="16" t="s">
        <v>134</v>
      </c>
      <c r="AW5" s="16" t="s">
        <v>135</v>
      </c>
    </row>
    <row r="6" customFormat="false" ht="15" hidden="false" customHeight="false" outlineLevel="0" collapsed="false">
      <c r="A6" s="30" t="n">
        <v>0</v>
      </c>
      <c r="B6" s="31" t="n">
        <f aca="false">EOMONTH(Inputs!$B$17,-3)</f>
        <v>44926</v>
      </c>
      <c r="C6" s="32" t="s">
        <v>136</v>
      </c>
      <c r="I6" s="33" t="n">
        <v>0</v>
      </c>
      <c r="P6" s="33" t="n">
        <v>0</v>
      </c>
      <c r="Q6" s="33" t="n">
        <v>0</v>
      </c>
      <c r="R6" s="33" t="n">
        <v>0</v>
      </c>
      <c r="S6" s="33" t="n">
        <v>0</v>
      </c>
      <c r="T6" s="33" t="n">
        <v>0</v>
      </c>
      <c r="U6" s="33" t="n">
        <v>0</v>
      </c>
      <c r="AJ6" s="33" t="n">
        <v>0</v>
      </c>
      <c r="AN6" s="33" t="n">
        <v>0</v>
      </c>
      <c r="AP6" s="33" t="n">
        <v>0</v>
      </c>
      <c r="AS6" s="33" t="n">
        <v>0</v>
      </c>
      <c r="AT6" s="33" t="n">
        <v>0</v>
      </c>
    </row>
    <row r="7" customFormat="false" ht="15" hidden="false" customHeight="false" outlineLevel="0" collapsed="false">
      <c r="A7" s="30" t="n">
        <f aca="false">A6+1</f>
        <v>1</v>
      </c>
      <c r="B7" s="31" t="n">
        <f aca="false">EOMONTH(Inputs!$B$17,3*(A7-1))</f>
        <v>45016</v>
      </c>
      <c r="C7" s="30" t="n">
        <f aca="false">IF(A7&lt;=Inputs!$B$18,1,0)</f>
        <v>1</v>
      </c>
      <c r="D7" s="33" t="n">
        <f aca="false">I6</f>
        <v>0</v>
      </c>
      <c r="E7" s="33" t="n">
        <f aca="false">IF(C7=1,Inputs!$B$19*Inputs!$B$13/Inputs!$B$18,0)</f>
        <v>4.25</v>
      </c>
      <c r="F7" s="33" t="n">
        <f aca="false">D7*((1+Inputs!$B$24)^(1/4)-1)</f>
        <v>0</v>
      </c>
      <c r="G7" s="18" t="n">
        <f aca="false">IF(A7=MAX($A$7:$A$46),1,IF(A7&lt;Inputs!$B$25,0,MIN(1,Inputs!$B$26+Inputs!$B$27*(A7-Inputs!$B$25))))</f>
        <v>0</v>
      </c>
      <c r="H7" s="33" t="n">
        <f aca="false">G7*(D7+E7+F7)</f>
        <v>0</v>
      </c>
      <c r="I7" s="33" t="n">
        <f aca="false">D7+E7+F7-H7</f>
        <v>4.25</v>
      </c>
      <c r="J7" s="33" t="n">
        <f aca="false">IF(C7=1,Inputs!$B$20*Inputs!$B$13/4,Inputs!$B$21*D7/4)</f>
        <v>0.5</v>
      </c>
      <c r="K7" s="33" t="n">
        <f aca="false">Inputs!$B$22*Inputs!$B$13/4</f>
        <v>0.0375</v>
      </c>
      <c r="L7" s="33" t="n">
        <f aca="false">IF(C7=1,MIN(E7+J7+K7,Inputs!$B$13-P6),0)</f>
        <v>4.7875</v>
      </c>
      <c r="M7" s="33" t="n">
        <f aca="false">MAX(0,IF(C7=1,H7,H7-J7-K7)-AH7-AI7+AK7)</f>
        <v>0</v>
      </c>
      <c r="N7" s="33" t="n">
        <f aca="false">MAX(0,Inputs!$B$23*MAX(0,Q7-P7)-R6)</f>
        <v>0</v>
      </c>
      <c r="O7" s="33" t="n">
        <f aca="false">M7-N7</f>
        <v>0</v>
      </c>
      <c r="P7" s="33" t="n">
        <f aca="false">P6+L7</f>
        <v>4.7875</v>
      </c>
      <c r="Q7" s="33" t="n">
        <f aca="false">Q6+M7</f>
        <v>0</v>
      </c>
      <c r="R7" s="33" t="n">
        <f aca="false">R6+N7</f>
        <v>0</v>
      </c>
      <c r="S7" s="33" t="n">
        <f aca="false">MAX(0,Inputs!$B$23*MAX(0,Q7+I7-AJ7-P7)-R7)</f>
        <v>0</v>
      </c>
      <c r="T7" s="33" t="n">
        <f aca="false">I7-AJ7-S7</f>
        <v>4.25</v>
      </c>
      <c r="U7" s="33" t="n">
        <f aca="false">U6+O7</f>
        <v>0</v>
      </c>
      <c r="V7" s="34" t="n">
        <f aca="false">IF(P7&gt;0,U7/P7,0)</f>
        <v>0</v>
      </c>
      <c r="W7" s="34" t="n">
        <f aca="false">IF(P7&gt;0,T7/P7,0)</f>
        <v>0.887728459530026</v>
      </c>
      <c r="X7" s="34" t="n">
        <f aca="false">V7+W7</f>
        <v>0.887728459530026</v>
      </c>
      <c r="Y7" s="33" t="n">
        <f aca="false">-L7+O7</f>
        <v>-4.7875</v>
      </c>
      <c r="Z7" s="33" t="n">
        <f aca="false">IF(B7&lt;Inputs!$B$31,Y7,IF(B7=Inputs!$B$31,Y7+T7,0))</f>
        <v>-4.7875</v>
      </c>
      <c r="AA7" s="33" t="n">
        <f aca="false">-E7+H7</f>
        <v>-4.25</v>
      </c>
      <c r="AB7" s="33" t="n">
        <f aca="false">IF(B7&lt;Inputs!$B$31,AA7,IF(B7=Inputs!$B$31,AA7+I7,0))</f>
        <v>-4.25</v>
      </c>
      <c r="AC7" s="33" t="n">
        <f aca="false">Inputs!$B$13-P7</f>
        <v>95.2125</v>
      </c>
      <c r="AD7" s="33" t="n">
        <f aca="false">N7+S7-S6</f>
        <v>0</v>
      </c>
      <c r="AE7" s="33" t="n">
        <f aca="false">AJ6</f>
        <v>0</v>
      </c>
      <c r="AF7" s="33" t="n">
        <f aca="false">IF(AND(Inputs!$B$35=1,A7=Inputs!$B$36),MIN(Inputs!$B$37*I7,Inputs!$B$38),0)</f>
        <v>0</v>
      </c>
      <c r="AG7" s="33" t="n">
        <f aca="false">Inputs!$B$40*AF7</f>
        <v>0</v>
      </c>
      <c r="AH7" s="33" t="n">
        <f aca="false">Inputs!$B$39/4*AE7</f>
        <v>0</v>
      </c>
      <c r="AI7" s="33" t="n">
        <f aca="false">IF(A7=MAX($A$7:$A$46),AE7,MIN(AE7,Inputs!$B$41*MAX(0,IF(C7=1,H7,H7-J7-K7)-AH7)))</f>
        <v>0</v>
      </c>
      <c r="AJ7" s="33" t="n">
        <f aca="false">AE7+AF7-AI7</f>
        <v>0</v>
      </c>
      <c r="AK7" s="33" t="n">
        <f aca="false">AF7-AG7</f>
        <v>0</v>
      </c>
      <c r="AL7" s="18" t="n">
        <f aca="false">IF(I7&gt;0,AJ7/I7,0)</f>
        <v>0</v>
      </c>
      <c r="AM7" s="33" t="n">
        <f aca="false">IF(C7=1,H7,MAX(0,H7-J7-K7))</f>
        <v>0</v>
      </c>
      <c r="AN7" s="33" t="n">
        <f aca="false">AN6+AM7</f>
        <v>0</v>
      </c>
      <c r="AO7" s="33" t="n">
        <f aca="false">MAX(0,Inputs!$B$23*MAX(0,AN7-P7)-AP6)</f>
        <v>0</v>
      </c>
      <c r="AP7" s="33" t="n">
        <f aca="false">AP6+AO7</f>
        <v>0</v>
      </c>
      <c r="AQ7" s="33" t="n">
        <f aca="false">AM7-AO7</f>
        <v>0</v>
      </c>
      <c r="AR7" s="33" t="n">
        <f aca="false">MAX(0,Inputs!$B$23*MAX(0,AN7+I7-P7)-AP7)</f>
        <v>0</v>
      </c>
      <c r="AS7" s="33" t="n">
        <f aca="false">I7-AR7</f>
        <v>4.25</v>
      </c>
      <c r="AT7" s="33" t="n">
        <f aca="false">AT6+AQ7</f>
        <v>0</v>
      </c>
      <c r="AU7" s="33" t="n">
        <f aca="false">-L7+AQ7</f>
        <v>-4.7875</v>
      </c>
      <c r="AV7" s="33" t="n">
        <f aca="false">IF(B7&lt;Inputs!$B$31,AU7,IF(B7=Inputs!$B$31,AU7+AS7,0))</f>
        <v>-4.7875</v>
      </c>
      <c r="AW7" s="34" t="n">
        <f aca="false">IF(P7&gt;0,(AT7+AS7)/P7,0)</f>
        <v>0.887728459530026</v>
      </c>
    </row>
    <row r="8" customFormat="false" ht="15" hidden="false" customHeight="false" outlineLevel="0" collapsed="false">
      <c r="A8" s="30" t="n">
        <f aca="false">A7+1</f>
        <v>2</v>
      </c>
      <c r="B8" s="31" t="n">
        <f aca="false">EOMONTH(Inputs!$B$17,3*(A8-1))</f>
        <v>45107</v>
      </c>
      <c r="C8" s="30" t="n">
        <f aca="false">IF(A8&lt;=Inputs!$B$18,1,0)</f>
        <v>1</v>
      </c>
      <c r="D8" s="33" t="n">
        <f aca="false">I7</f>
        <v>4.25</v>
      </c>
      <c r="E8" s="33" t="n">
        <f aca="false">IF(C8=1,Inputs!$B$19*Inputs!$B$13/Inputs!$B$18,0)</f>
        <v>4.25</v>
      </c>
      <c r="F8" s="33" t="n">
        <f aca="false">D8*((1+Inputs!$B$24)^(1/4)-1)</f>
        <v>0.179548200689365</v>
      </c>
      <c r="G8" s="18" t="n">
        <f aca="false">IF(A8=MAX($A$7:$A$46),1,IF(A8&lt;Inputs!$B$25,0,MIN(1,Inputs!$B$26+Inputs!$B$27*(A8-Inputs!$B$25))))</f>
        <v>0</v>
      </c>
      <c r="H8" s="33" t="n">
        <f aca="false">G8*(D8+E8+F8)</f>
        <v>0</v>
      </c>
      <c r="I8" s="33" t="n">
        <f aca="false">D8+E8+F8-H8</f>
        <v>8.67954820068936</v>
      </c>
      <c r="J8" s="33" t="n">
        <f aca="false">IF(C8=1,Inputs!$B$20*Inputs!$B$13/4,Inputs!$B$21*D8/4)</f>
        <v>0.5</v>
      </c>
      <c r="K8" s="33" t="n">
        <f aca="false">Inputs!$B$22*Inputs!$B$13/4</f>
        <v>0.0375</v>
      </c>
      <c r="L8" s="33" t="n">
        <f aca="false">IF(C8=1,MIN(E8+J8+K8,Inputs!$B$13-P7),0)</f>
        <v>4.7875</v>
      </c>
      <c r="M8" s="33" t="n">
        <f aca="false">MAX(0,IF(C8=1,H8,H8-J8-K8)-AH8-AI8+AK8)</f>
        <v>0</v>
      </c>
      <c r="N8" s="33" t="n">
        <f aca="false">MAX(0,Inputs!$B$23*MAX(0,Q8-P8)-R7)</f>
        <v>0</v>
      </c>
      <c r="O8" s="33" t="n">
        <f aca="false">M8-N8</f>
        <v>0</v>
      </c>
      <c r="P8" s="33" t="n">
        <f aca="false">P7+L8</f>
        <v>9.575</v>
      </c>
      <c r="Q8" s="33" t="n">
        <f aca="false">Q7+M8</f>
        <v>0</v>
      </c>
      <c r="R8" s="33" t="n">
        <f aca="false">R7+N8</f>
        <v>0</v>
      </c>
      <c r="S8" s="33" t="n">
        <f aca="false">MAX(0,Inputs!$B$23*MAX(0,Q8+I8-AJ8-P8)-R8)</f>
        <v>0</v>
      </c>
      <c r="T8" s="33" t="n">
        <f aca="false">I8-AJ8-S8</f>
        <v>8.67954820068936</v>
      </c>
      <c r="U8" s="33" t="n">
        <f aca="false">U7+O8</f>
        <v>0</v>
      </c>
      <c r="V8" s="34" t="n">
        <f aca="false">IF(P8&gt;0,U8/P8,0)</f>
        <v>0</v>
      </c>
      <c r="W8" s="34" t="n">
        <f aca="false">IF(P8&gt;0,T8/P8,0)</f>
        <v>0.906480229837009</v>
      </c>
      <c r="X8" s="34" t="n">
        <f aca="false">V8+W8</f>
        <v>0.906480229837009</v>
      </c>
      <c r="Y8" s="33" t="n">
        <f aca="false">-L8+O8</f>
        <v>-4.7875</v>
      </c>
      <c r="Z8" s="33" t="n">
        <f aca="false">IF(B8&lt;Inputs!$B$31,Y8,IF(B8=Inputs!$B$31,Y8+T8,0))</f>
        <v>-4.7875</v>
      </c>
      <c r="AA8" s="33" t="n">
        <f aca="false">-E8+H8</f>
        <v>-4.25</v>
      </c>
      <c r="AB8" s="33" t="n">
        <f aca="false">IF(B8&lt;Inputs!$B$31,AA8,IF(B8=Inputs!$B$31,AA8+I8,0))</f>
        <v>-4.25</v>
      </c>
      <c r="AC8" s="33" t="n">
        <f aca="false">Inputs!$B$13-P8</f>
        <v>90.425</v>
      </c>
      <c r="AD8" s="33" t="n">
        <f aca="false">N8+S8-S7</f>
        <v>0</v>
      </c>
      <c r="AE8" s="33" t="n">
        <f aca="false">AJ7</f>
        <v>0</v>
      </c>
      <c r="AF8" s="33" t="n">
        <f aca="false">IF(AND(Inputs!$B$35=1,A8=Inputs!$B$36),MIN(Inputs!$B$37*I8,Inputs!$B$38),0)</f>
        <v>0</v>
      </c>
      <c r="AG8" s="33" t="n">
        <f aca="false">Inputs!$B$40*AF8</f>
        <v>0</v>
      </c>
      <c r="AH8" s="33" t="n">
        <f aca="false">Inputs!$B$39/4*AE8</f>
        <v>0</v>
      </c>
      <c r="AI8" s="33" t="n">
        <f aca="false">IF(A8=MAX($A$7:$A$46),AE8,MIN(AE8,Inputs!$B$41*MAX(0,IF(C8=1,H8,H8-J8-K8)-AH8)))</f>
        <v>0</v>
      </c>
      <c r="AJ8" s="33" t="n">
        <f aca="false">AE8+AF8-AI8</f>
        <v>0</v>
      </c>
      <c r="AK8" s="33" t="n">
        <f aca="false">AF8-AG8</f>
        <v>0</v>
      </c>
      <c r="AL8" s="18" t="n">
        <f aca="false">IF(I8&gt;0,AJ8/I8,0)</f>
        <v>0</v>
      </c>
      <c r="AM8" s="33" t="n">
        <f aca="false">IF(C8=1,H8,MAX(0,H8-J8-K8))</f>
        <v>0</v>
      </c>
      <c r="AN8" s="33" t="n">
        <f aca="false">AN7+AM8</f>
        <v>0</v>
      </c>
      <c r="AO8" s="33" t="n">
        <f aca="false">MAX(0,Inputs!$B$23*MAX(0,AN8-P8)-AP7)</f>
        <v>0</v>
      </c>
      <c r="AP8" s="33" t="n">
        <f aca="false">AP7+AO8</f>
        <v>0</v>
      </c>
      <c r="AQ8" s="33" t="n">
        <f aca="false">AM8-AO8</f>
        <v>0</v>
      </c>
      <c r="AR8" s="33" t="n">
        <f aca="false">MAX(0,Inputs!$B$23*MAX(0,AN8+I8-P8)-AP8)</f>
        <v>0</v>
      </c>
      <c r="AS8" s="33" t="n">
        <f aca="false">I8-AR8</f>
        <v>8.67954820068936</v>
      </c>
      <c r="AT8" s="33" t="n">
        <f aca="false">AT7+AQ8</f>
        <v>0</v>
      </c>
      <c r="AU8" s="33" t="n">
        <f aca="false">-L8+AQ8</f>
        <v>-4.7875</v>
      </c>
      <c r="AV8" s="33" t="n">
        <f aca="false">IF(B8&lt;Inputs!$B$31,AU8,IF(B8=Inputs!$B$31,AU8+AS8,0))</f>
        <v>-4.7875</v>
      </c>
      <c r="AW8" s="34" t="n">
        <f aca="false">IF(P8&gt;0,(AT8+AS8)/P8,0)</f>
        <v>0.906480229837009</v>
      </c>
    </row>
    <row r="9" customFormat="false" ht="15" hidden="false" customHeight="false" outlineLevel="0" collapsed="false">
      <c r="A9" s="30" t="n">
        <f aca="false">A8+1</f>
        <v>3</v>
      </c>
      <c r="B9" s="31" t="n">
        <f aca="false">EOMONTH(Inputs!$B$17,3*(A9-1))</f>
        <v>45199</v>
      </c>
      <c r="C9" s="30" t="n">
        <f aca="false">IF(A9&lt;=Inputs!$B$18,1,0)</f>
        <v>1</v>
      </c>
      <c r="D9" s="33" t="n">
        <f aca="false">I8</f>
        <v>8.67954820068936</v>
      </c>
      <c r="E9" s="33" t="n">
        <f aca="false">IF(C9=1,Inputs!$B$19*Inputs!$B$13/Inputs!$B$18,0)</f>
        <v>4.25</v>
      </c>
      <c r="F9" s="33" t="n">
        <f aca="false">D9*((1+Inputs!$B$24)^(1/4)-1)</f>
        <v>0.366681708760092</v>
      </c>
      <c r="G9" s="18" t="n">
        <f aca="false">IF(A9=MAX($A$7:$A$46),1,IF(A9&lt;Inputs!$B$25,0,MIN(1,Inputs!$B$26+Inputs!$B$27*(A9-Inputs!$B$25))))</f>
        <v>0</v>
      </c>
      <c r="H9" s="33" t="n">
        <f aca="false">G9*(D9+E9+F9)</f>
        <v>0</v>
      </c>
      <c r="I9" s="33" t="n">
        <f aca="false">D9+E9+F9-H9</f>
        <v>13.2962299094495</v>
      </c>
      <c r="J9" s="33" t="n">
        <f aca="false">IF(C9=1,Inputs!$B$20*Inputs!$B$13/4,Inputs!$B$21*D9/4)</f>
        <v>0.5</v>
      </c>
      <c r="K9" s="33" t="n">
        <f aca="false">Inputs!$B$22*Inputs!$B$13/4</f>
        <v>0.0375</v>
      </c>
      <c r="L9" s="33" t="n">
        <f aca="false">IF(C9=1,MIN(E9+J9+K9,Inputs!$B$13-P8),0)</f>
        <v>4.7875</v>
      </c>
      <c r="M9" s="33" t="n">
        <f aca="false">MAX(0,IF(C9=1,H9,H9-J9-K9)-AH9-AI9+AK9)</f>
        <v>0</v>
      </c>
      <c r="N9" s="33" t="n">
        <f aca="false">MAX(0,Inputs!$B$23*MAX(0,Q9-P9)-R8)</f>
        <v>0</v>
      </c>
      <c r="O9" s="33" t="n">
        <f aca="false">M9-N9</f>
        <v>0</v>
      </c>
      <c r="P9" s="33" t="n">
        <f aca="false">P8+L9</f>
        <v>14.3625</v>
      </c>
      <c r="Q9" s="33" t="n">
        <f aca="false">Q8+M9</f>
        <v>0</v>
      </c>
      <c r="R9" s="33" t="n">
        <f aca="false">R8+N9</f>
        <v>0</v>
      </c>
      <c r="S9" s="33" t="n">
        <f aca="false">MAX(0,Inputs!$B$23*MAX(0,Q9+I9-AJ9-P9)-R9)</f>
        <v>0</v>
      </c>
      <c r="T9" s="33" t="n">
        <f aca="false">I9-AJ9-S9</f>
        <v>13.2962299094495</v>
      </c>
      <c r="U9" s="33" t="n">
        <f aca="false">U8+O9</f>
        <v>0</v>
      </c>
      <c r="V9" s="34" t="n">
        <f aca="false">IF(P9&gt;0,U9/P9,0)</f>
        <v>0</v>
      </c>
      <c r="W9" s="34" t="n">
        <f aca="false">IF(P9&gt;0,T9/P9,0)</f>
        <v>0.925760132946873</v>
      </c>
      <c r="X9" s="34" t="n">
        <f aca="false">V9+W9</f>
        <v>0.925760132946873</v>
      </c>
      <c r="Y9" s="33" t="n">
        <f aca="false">-L9+O9</f>
        <v>-4.7875</v>
      </c>
      <c r="Z9" s="33" t="n">
        <f aca="false">IF(B9&lt;Inputs!$B$31,Y9,IF(B9=Inputs!$B$31,Y9+T9,0))</f>
        <v>-4.7875</v>
      </c>
      <c r="AA9" s="33" t="n">
        <f aca="false">-E9+H9</f>
        <v>-4.25</v>
      </c>
      <c r="AB9" s="33" t="n">
        <f aca="false">IF(B9&lt;Inputs!$B$31,AA9,IF(B9=Inputs!$B$31,AA9+I9,0))</f>
        <v>-4.25</v>
      </c>
      <c r="AC9" s="33" t="n">
        <f aca="false">Inputs!$B$13-P9</f>
        <v>85.6375</v>
      </c>
      <c r="AD9" s="33" t="n">
        <f aca="false">N9+S9-S8</f>
        <v>0</v>
      </c>
      <c r="AE9" s="33" t="n">
        <f aca="false">AJ8</f>
        <v>0</v>
      </c>
      <c r="AF9" s="33" t="n">
        <f aca="false">IF(AND(Inputs!$B$35=1,A9=Inputs!$B$36),MIN(Inputs!$B$37*I9,Inputs!$B$38),0)</f>
        <v>0</v>
      </c>
      <c r="AG9" s="33" t="n">
        <f aca="false">Inputs!$B$40*AF9</f>
        <v>0</v>
      </c>
      <c r="AH9" s="33" t="n">
        <f aca="false">Inputs!$B$39/4*AE9</f>
        <v>0</v>
      </c>
      <c r="AI9" s="33" t="n">
        <f aca="false">IF(A9=MAX($A$7:$A$46),AE9,MIN(AE9,Inputs!$B$41*MAX(0,IF(C9=1,H9,H9-J9-K9)-AH9)))</f>
        <v>0</v>
      </c>
      <c r="AJ9" s="33" t="n">
        <f aca="false">AE9+AF9-AI9</f>
        <v>0</v>
      </c>
      <c r="AK9" s="33" t="n">
        <f aca="false">AF9-AG9</f>
        <v>0</v>
      </c>
      <c r="AL9" s="18" t="n">
        <f aca="false">IF(I9&gt;0,AJ9/I9,0)</f>
        <v>0</v>
      </c>
      <c r="AM9" s="33" t="n">
        <f aca="false">IF(C9=1,H9,MAX(0,H9-J9-K9))</f>
        <v>0</v>
      </c>
      <c r="AN9" s="33" t="n">
        <f aca="false">AN8+AM9</f>
        <v>0</v>
      </c>
      <c r="AO9" s="33" t="n">
        <f aca="false">MAX(0,Inputs!$B$23*MAX(0,AN9-P9)-AP8)</f>
        <v>0</v>
      </c>
      <c r="AP9" s="33" t="n">
        <f aca="false">AP8+AO9</f>
        <v>0</v>
      </c>
      <c r="AQ9" s="33" t="n">
        <f aca="false">AM9-AO9</f>
        <v>0</v>
      </c>
      <c r="AR9" s="33" t="n">
        <f aca="false">MAX(0,Inputs!$B$23*MAX(0,AN9+I9-P9)-AP9)</f>
        <v>0</v>
      </c>
      <c r="AS9" s="33" t="n">
        <f aca="false">I9-AR9</f>
        <v>13.2962299094495</v>
      </c>
      <c r="AT9" s="33" t="n">
        <f aca="false">AT8+AQ9</f>
        <v>0</v>
      </c>
      <c r="AU9" s="33" t="n">
        <f aca="false">-L9+AQ9</f>
        <v>-4.7875</v>
      </c>
      <c r="AV9" s="33" t="n">
        <f aca="false">IF(B9&lt;Inputs!$B$31,AU9,IF(B9=Inputs!$B$31,AU9+AS9,0))</f>
        <v>-4.7875</v>
      </c>
      <c r="AW9" s="34" t="n">
        <f aca="false">IF(P9&gt;0,(AT9+AS9)/P9,0)</f>
        <v>0.925760132946873</v>
      </c>
    </row>
    <row r="10" customFormat="false" ht="15" hidden="false" customHeight="false" outlineLevel="0" collapsed="false">
      <c r="A10" s="30" t="n">
        <f aca="false">A9+1</f>
        <v>4</v>
      </c>
      <c r="B10" s="31" t="n">
        <f aca="false">EOMONTH(Inputs!$B$17,3*(A10-1))</f>
        <v>45291</v>
      </c>
      <c r="C10" s="30" t="n">
        <f aca="false">IF(A10&lt;=Inputs!$B$18,1,0)</f>
        <v>1</v>
      </c>
      <c r="D10" s="33" t="n">
        <f aca="false">I9</f>
        <v>13.2962299094495</v>
      </c>
      <c r="E10" s="33" t="n">
        <f aca="false">IF(C10=1,Inputs!$B$19*Inputs!$B$13/Inputs!$B$18,0)</f>
        <v>4.25</v>
      </c>
      <c r="F10" s="33" t="n">
        <f aca="false">D10*((1+Inputs!$B$24)^(1/4)-1)</f>
        <v>0.561720977927945</v>
      </c>
      <c r="G10" s="18" t="n">
        <f aca="false">IF(A10=MAX($A$7:$A$46),1,IF(A10&lt;Inputs!$B$25,0,MIN(1,Inputs!$B$26+Inputs!$B$27*(A10-Inputs!$B$25))))</f>
        <v>0</v>
      </c>
      <c r="H10" s="33" t="n">
        <f aca="false">G10*(D10+E10+F10)</f>
        <v>0</v>
      </c>
      <c r="I10" s="33" t="n">
        <f aca="false">D10+E10+F10-H10</f>
        <v>18.1079508873774</v>
      </c>
      <c r="J10" s="33" t="n">
        <f aca="false">IF(C10=1,Inputs!$B$20*Inputs!$B$13/4,Inputs!$B$21*D10/4)</f>
        <v>0.5</v>
      </c>
      <c r="K10" s="33" t="n">
        <f aca="false">Inputs!$B$22*Inputs!$B$13/4</f>
        <v>0.0375</v>
      </c>
      <c r="L10" s="33" t="n">
        <f aca="false">IF(C10=1,MIN(E10+J10+K10,Inputs!$B$13-P9),0)</f>
        <v>4.7875</v>
      </c>
      <c r="M10" s="33" t="n">
        <f aca="false">MAX(0,IF(C10=1,H10,H10-J10-K10)-AH10-AI10+AK10)</f>
        <v>0</v>
      </c>
      <c r="N10" s="33" t="n">
        <f aca="false">MAX(0,Inputs!$B$23*MAX(0,Q10-P10)-R9)</f>
        <v>0</v>
      </c>
      <c r="O10" s="33" t="n">
        <f aca="false">M10-N10</f>
        <v>0</v>
      </c>
      <c r="P10" s="33" t="n">
        <f aca="false">P9+L10</f>
        <v>19.15</v>
      </c>
      <c r="Q10" s="33" t="n">
        <f aca="false">Q9+M10</f>
        <v>0</v>
      </c>
      <c r="R10" s="33" t="n">
        <f aca="false">R9+N10</f>
        <v>0</v>
      </c>
      <c r="S10" s="33" t="n">
        <f aca="false">MAX(0,Inputs!$B$23*MAX(0,Q10+I10-AJ10-P10)-R10)</f>
        <v>0</v>
      </c>
      <c r="T10" s="33" t="n">
        <f aca="false">I10-AJ10-S10</f>
        <v>18.1079508873774</v>
      </c>
      <c r="U10" s="33" t="n">
        <f aca="false">U9+O10</f>
        <v>0</v>
      </c>
      <c r="V10" s="34" t="n">
        <f aca="false">IF(P10&gt;0,U10/P10,0)</f>
        <v>0</v>
      </c>
      <c r="W10" s="34" t="n">
        <f aca="false">IF(P10&gt;0,T10/P10,0)</f>
        <v>0.945584902735112</v>
      </c>
      <c r="X10" s="34" t="n">
        <f aca="false">V10+W10</f>
        <v>0.945584902735112</v>
      </c>
      <c r="Y10" s="33" t="n">
        <f aca="false">-L10+O10</f>
        <v>-4.7875</v>
      </c>
      <c r="Z10" s="33" t="n">
        <f aca="false">IF(B10&lt;Inputs!$B$31,Y10,IF(B10=Inputs!$B$31,Y10+T10,0))</f>
        <v>-4.7875</v>
      </c>
      <c r="AA10" s="33" t="n">
        <f aca="false">-E10+H10</f>
        <v>-4.25</v>
      </c>
      <c r="AB10" s="33" t="n">
        <f aca="false">IF(B10&lt;Inputs!$B$31,AA10,IF(B10=Inputs!$B$31,AA10+I10,0))</f>
        <v>-4.25</v>
      </c>
      <c r="AC10" s="33" t="n">
        <f aca="false">Inputs!$B$13-P10</f>
        <v>80.85</v>
      </c>
      <c r="AD10" s="33" t="n">
        <f aca="false">N10+S10-S9</f>
        <v>0</v>
      </c>
      <c r="AE10" s="33" t="n">
        <f aca="false">AJ9</f>
        <v>0</v>
      </c>
      <c r="AF10" s="33" t="n">
        <f aca="false">IF(AND(Inputs!$B$35=1,A10=Inputs!$B$36),MIN(Inputs!$B$37*I10,Inputs!$B$38),0)</f>
        <v>0</v>
      </c>
      <c r="AG10" s="33" t="n">
        <f aca="false">Inputs!$B$40*AF10</f>
        <v>0</v>
      </c>
      <c r="AH10" s="33" t="n">
        <f aca="false">Inputs!$B$39/4*AE10</f>
        <v>0</v>
      </c>
      <c r="AI10" s="33" t="n">
        <f aca="false">IF(A10=MAX($A$7:$A$46),AE10,MIN(AE10,Inputs!$B$41*MAX(0,IF(C10=1,H10,H10-J10-K10)-AH10)))</f>
        <v>0</v>
      </c>
      <c r="AJ10" s="33" t="n">
        <f aca="false">AE10+AF10-AI10</f>
        <v>0</v>
      </c>
      <c r="AK10" s="33" t="n">
        <f aca="false">AF10-AG10</f>
        <v>0</v>
      </c>
      <c r="AL10" s="18" t="n">
        <f aca="false">IF(I10&gt;0,AJ10/I10,0)</f>
        <v>0</v>
      </c>
      <c r="AM10" s="33" t="n">
        <f aca="false">IF(C10=1,H10,MAX(0,H10-J10-K10))</f>
        <v>0</v>
      </c>
      <c r="AN10" s="33" t="n">
        <f aca="false">AN9+AM10</f>
        <v>0</v>
      </c>
      <c r="AO10" s="33" t="n">
        <f aca="false">MAX(0,Inputs!$B$23*MAX(0,AN10-P10)-AP9)</f>
        <v>0</v>
      </c>
      <c r="AP10" s="33" t="n">
        <f aca="false">AP9+AO10</f>
        <v>0</v>
      </c>
      <c r="AQ10" s="33" t="n">
        <f aca="false">AM10-AO10</f>
        <v>0</v>
      </c>
      <c r="AR10" s="33" t="n">
        <f aca="false">MAX(0,Inputs!$B$23*MAX(0,AN10+I10-P10)-AP10)</f>
        <v>0</v>
      </c>
      <c r="AS10" s="33" t="n">
        <f aca="false">I10-AR10</f>
        <v>18.1079508873774</v>
      </c>
      <c r="AT10" s="33" t="n">
        <f aca="false">AT9+AQ10</f>
        <v>0</v>
      </c>
      <c r="AU10" s="33" t="n">
        <f aca="false">-L10+AQ10</f>
        <v>-4.7875</v>
      </c>
      <c r="AV10" s="33" t="n">
        <f aca="false">IF(B10&lt;Inputs!$B$31,AU10,IF(B10=Inputs!$B$31,AU10+AS10,0))</f>
        <v>-4.7875</v>
      </c>
      <c r="AW10" s="34" t="n">
        <f aca="false">IF(P10&gt;0,(AT10+AS10)/P10,0)</f>
        <v>0.945584902735112</v>
      </c>
    </row>
    <row r="11" customFormat="false" ht="15" hidden="false" customHeight="false" outlineLevel="0" collapsed="false">
      <c r="A11" s="30" t="n">
        <f aca="false">A10+1</f>
        <v>5</v>
      </c>
      <c r="B11" s="31" t="n">
        <f aca="false">EOMONTH(Inputs!$B$17,3*(A11-1))</f>
        <v>45382</v>
      </c>
      <c r="C11" s="30" t="n">
        <f aca="false">IF(A11&lt;=Inputs!$B$18,1,0)</f>
        <v>1</v>
      </c>
      <c r="D11" s="33" t="n">
        <f aca="false">I10</f>
        <v>18.1079508873774</v>
      </c>
      <c r="E11" s="33" t="n">
        <f aca="false">IF(C11=1,Inputs!$B$19*Inputs!$B$13/Inputs!$B$18,0)</f>
        <v>4.25</v>
      </c>
      <c r="F11" s="33" t="n">
        <f aca="false">D11*((1+Inputs!$B$24)^(1/4)-1)</f>
        <v>0.765</v>
      </c>
      <c r="G11" s="18" t="n">
        <f aca="false">IF(A11=MAX($A$7:$A$46),1,IF(A11&lt;Inputs!$B$25,0,MIN(1,Inputs!$B$26+Inputs!$B$27*(A11-Inputs!$B$25))))</f>
        <v>0</v>
      </c>
      <c r="H11" s="33" t="n">
        <f aca="false">G11*(D11+E11+F11)</f>
        <v>0</v>
      </c>
      <c r="I11" s="33" t="n">
        <f aca="false">D11+E11+F11-H11</f>
        <v>23.1229508873774</v>
      </c>
      <c r="J11" s="33" t="n">
        <f aca="false">IF(C11=1,Inputs!$B$20*Inputs!$B$13/4,Inputs!$B$21*D11/4)</f>
        <v>0.5</v>
      </c>
      <c r="K11" s="33" t="n">
        <f aca="false">Inputs!$B$22*Inputs!$B$13/4</f>
        <v>0.0375</v>
      </c>
      <c r="L11" s="33" t="n">
        <f aca="false">IF(C11=1,MIN(E11+J11+K11,Inputs!$B$13-P10),0)</f>
        <v>4.7875</v>
      </c>
      <c r="M11" s="33" t="n">
        <f aca="false">MAX(0,IF(C11=1,H11,H11-J11-K11)-AH11-AI11+AK11)</f>
        <v>0</v>
      </c>
      <c r="N11" s="33" t="n">
        <f aca="false">MAX(0,Inputs!$B$23*MAX(0,Q11-P11)-R10)</f>
        <v>0</v>
      </c>
      <c r="O11" s="33" t="n">
        <f aca="false">M11-N11</f>
        <v>0</v>
      </c>
      <c r="P11" s="33" t="n">
        <f aca="false">P10+L11</f>
        <v>23.9375</v>
      </c>
      <c r="Q11" s="33" t="n">
        <f aca="false">Q10+M11</f>
        <v>0</v>
      </c>
      <c r="R11" s="33" t="n">
        <f aca="false">R10+N11</f>
        <v>0</v>
      </c>
      <c r="S11" s="33" t="n">
        <f aca="false">MAX(0,Inputs!$B$23*MAX(0,Q11+I11-AJ11-P11)-R11)</f>
        <v>0</v>
      </c>
      <c r="T11" s="33" t="n">
        <f aca="false">I11-AJ11-S11</f>
        <v>23.1229508873774</v>
      </c>
      <c r="U11" s="33" t="n">
        <f aca="false">U10+O11</f>
        <v>0</v>
      </c>
      <c r="V11" s="34" t="n">
        <f aca="false">IF(P11&gt;0,U11/P11,0)</f>
        <v>0</v>
      </c>
      <c r="W11" s="34" t="n">
        <f aca="false">IF(P11&gt;0,T11/P11,0)</f>
        <v>0.965971838637176</v>
      </c>
      <c r="X11" s="34" t="n">
        <f aca="false">V11+W11</f>
        <v>0.965971838637176</v>
      </c>
      <c r="Y11" s="33" t="n">
        <f aca="false">-L11+O11</f>
        <v>-4.7875</v>
      </c>
      <c r="Z11" s="33" t="n">
        <f aca="false">IF(B11&lt;Inputs!$B$31,Y11,IF(B11=Inputs!$B$31,Y11+T11,0))</f>
        <v>-4.7875</v>
      </c>
      <c r="AA11" s="33" t="n">
        <f aca="false">-E11+H11</f>
        <v>-4.25</v>
      </c>
      <c r="AB11" s="33" t="n">
        <f aca="false">IF(B11&lt;Inputs!$B$31,AA11,IF(B11=Inputs!$B$31,AA11+I11,0))</f>
        <v>-4.25</v>
      </c>
      <c r="AC11" s="33" t="n">
        <f aca="false">Inputs!$B$13-P11</f>
        <v>76.0625</v>
      </c>
      <c r="AD11" s="33" t="n">
        <f aca="false">N11+S11-S10</f>
        <v>0</v>
      </c>
      <c r="AE11" s="33" t="n">
        <f aca="false">AJ10</f>
        <v>0</v>
      </c>
      <c r="AF11" s="33" t="n">
        <f aca="false">IF(AND(Inputs!$B$35=1,A11=Inputs!$B$36),MIN(Inputs!$B$37*I11,Inputs!$B$38),0)</f>
        <v>0</v>
      </c>
      <c r="AG11" s="33" t="n">
        <f aca="false">Inputs!$B$40*AF11</f>
        <v>0</v>
      </c>
      <c r="AH11" s="33" t="n">
        <f aca="false">Inputs!$B$39/4*AE11</f>
        <v>0</v>
      </c>
      <c r="AI11" s="33" t="n">
        <f aca="false">IF(A11=MAX($A$7:$A$46),AE11,MIN(AE11,Inputs!$B$41*MAX(0,IF(C11=1,H11,H11-J11-K11)-AH11)))</f>
        <v>0</v>
      </c>
      <c r="AJ11" s="33" t="n">
        <f aca="false">AE11+AF11-AI11</f>
        <v>0</v>
      </c>
      <c r="AK11" s="33" t="n">
        <f aca="false">AF11-AG11</f>
        <v>0</v>
      </c>
      <c r="AL11" s="18" t="n">
        <f aca="false">IF(I11&gt;0,AJ11/I11,0)</f>
        <v>0</v>
      </c>
      <c r="AM11" s="33" t="n">
        <f aca="false">IF(C11=1,H11,MAX(0,H11-J11-K11))</f>
        <v>0</v>
      </c>
      <c r="AN11" s="33" t="n">
        <f aca="false">AN10+AM11</f>
        <v>0</v>
      </c>
      <c r="AO11" s="33" t="n">
        <f aca="false">MAX(0,Inputs!$B$23*MAX(0,AN11-P11)-AP10)</f>
        <v>0</v>
      </c>
      <c r="AP11" s="33" t="n">
        <f aca="false">AP10+AO11</f>
        <v>0</v>
      </c>
      <c r="AQ11" s="33" t="n">
        <f aca="false">AM11-AO11</f>
        <v>0</v>
      </c>
      <c r="AR11" s="33" t="n">
        <f aca="false">MAX(0,Inputs!$B$23*MAX(0,AN11+I11-P11)-AP11)</f>
        <v>0</v>
      </c>
      <c r="AS11" s="33" t="n">
        <f aca="false">I11-AR11</f>
        <v>23.1229508873774</v>
      </c>
      <c r="AT11" s="33" t="n">
        <f aca="false">AT10+AQ11</f>
        <v>0</v>
      </c>
      <c r="AU11" s="33" t="n">
        <f aca="false">-L11+AQ11</f>
        <v>-4.7875</v>
      </c>
      <c r="AV11" s="33" t="n">
        <f aca="false">IF(B11&lt;Inputs!$B$31,AU11,IF(B11=Inputs!$B$31,AU11+AS11,0))</f>
        <v>-4.7875</v>
      </c>
      <c r="AW11" s="34" t="n">
        <f aca="false">IF(P11&gt;0,(AT11+AS11)/P11,0)</f>
        <v>0.965971838637176</v>
      </c>
    </row>
    <row r="12" customFormat="false" ht="15" hidden="false" customHeight="false" outlineLevel="0" collapsed="false">
      <c r="A12" s="30" t="n">
        <f aca="false">A11+1</f>
        <v>6</v>
      </c>
      <c r="B12" s="31" t="n">
        <f aca="false">EOMONTH(Inputs!$B$17,3*(A12-1))</f>
        <v>45473</v>
      </c>
      <c r="C12" s="30" t="n">
        <f aca="false">IF(A12&lt;=Inputs!$B$18,1,0)</f>
        <v>1</v>
      </c>
      <c r="D12" s="33" t="n">
        <f aca="false">I11</f>
        <v>23.1229508873774</v>
      </c>
      <c r="E12" s="33" t="n">
        <f aca="false">IF(C12=1,Inputs!$B$19*Inputs!$B$13/Inputs!$B$18,0)</f>
        <v>4.25</v>
      </c>
      <c r="F12" s="33" t="n">
        <f aca="false">D12*((1+Inputs!$B$24)^(1/4)-1)</f>
        <v>0.97686687681345</v>
      </c>
      <c r="G12" s="18" t="n">
        <f aca="false">IF(A12=MAX($A$7:$A$46),1,IF(A12&lt;Inputs!$B$25,0,MIN(1,Inputs!$B$26+Inputs!$B$27*(A12-Inputs!$B$25))))</f>
        <v>0</v>
      </c>
      <c r="H12" s="33" t="n">
        <f aca="false">G12*(D12+E12+F12)</f>
        <v>0</v>
      </c>
      <c r="I12" s="33" t="n">
        <f aca="false">D12+E12+F12-H12</f>
        <v>28.3498177641909</v>
      </c>
      <c r="J12" s="33" t="n">
        <f aca="false">IF(C12=1,Inputs!$B$20*Inputs!$B$13/4,Inputs!$B$21*D12/4)</f>
        <v>0.5</v>
      </c>
      <c r="K12" s="33" t="n">
        <f aca="false">Inputs!$B$22*Inputs!$B$13/4</f>
        <v>0.0375</v>
      </c>
      <c r="L12" s="33" t="n">
        <f aca="false">IF(C12=1,MIN(E12+J12+K12,Inputs!$B$13-P11),0)</f>
        <v>4.7875</v>
      </c>
      <c r="M12" s="33" t="n">
        <f aca="false">MAX(0,IF(C12=1,H12,H12-J12-K12)-AH12-AI12+AK12)</f>
        <v>0</v>
      </c>
      <c r="N12" s="33" t="n">
        <f aca="false">MAX(0,Inputs!$B$23*MAX(0,Q12-P12)-R11)</f>
        <v>0</v>
      </c>
      <c r="O12" s="33" t="n">
        <f aca="false">M12-N12</f>
        <v>0</v>
      </c>
      <c r="P12" s="33" t="n">
        <f aca="false">P11+L12</f>
        <v>28.725</v>
      </c>
      <c r="Q12" s="33" t="n">
        <f aca="false">Q11+M12</f>
        <v>0</v>
      </c>
      <c r="R12" s="33" t="n">
        <f aca="false">R11+N12</f>
        <v>0</v>
      </c>
      <c r="S12" s="33" t="n">
        <f aca="false">MAX(0,Inputs!$B$23*MAX(0,Q12+I12-AJ12-P12)-R12)</f>
        <v>0</v>
      </c>
      <c r="T12" s="33" t="n">
        <f aca="false">I12-AJ12-S12</f>
        <v>28.3498177641909</v>
      </c>
      <c r="U12" s="33" t="n">
        <f aca="false">U11+O12</f>
        <v>0</v>
      </c>
      <c r="V12" s="34" t="n">
        <f aca="false">IF(P12&gt;0,U12/P12,0)</f>
        <v>0</v>
      </c>
      <c r="W12" s="34" t="n">
        <f aca="false">IF(P12&gt;0,T12/P12,0)</f>
        <v>0.986938825559299</v>
      </c>
      <c r="X12" s="34" t="n">
        <f aca="false">V12+W12</f>
        <v>0.986938825559299</v>
      </c>
      <c r="Y12" s="33" t="n">
        <f aca="false">-L12+O12</f>
        <v>-4.7875</v>
      </c>
      <c r="Z12" s="33" t="n">
        <f aca="false">IF(B12&lt;Inputs!$B$31,Y12,IF(B12=Inputs!$B$31,Y12+T12,0))</f>
        <v>-4.7875</v>
      </c>
      <c r="AA12" s="33" t="n">
        <f aca="false">-E12+H12</f>
        <v>-4.25</v>
      </c>
      <c r="AB12" s="33" t="n">
        <f aca="false">IF(B12&lt;Inputs!$B$31,AA12,IF(B12=Inputs!$B$31,AA12+I12,0))</f>
        <v>-4.25</v>
      </c>
      <c r="AC12" s="33" t="n">
        <f aca="false">Inputs!$B$13-P12</f>
        <v>71.275</v>
      </c>
      <c r="AD12" s="33" t="n">
        <f aca="false">N12+S12-S11</f>
        <v>0</v>
      </c>
      <c r="AE12" s="33" t="n">
        <f aca="false">AJ11</f>
        <v>0</v>
      </c>
      <c r="AF12" s="33" t="n">
        <f aca="false">IF(AND(Inputs!$B$35=1,A12=Inputs!$B$36),MIN(Inputs!$B$37*I12,Inputs!$B$38),0)</f>
        <v>0</v>
      </c>
      <c r="AG12" s="33" t="n">
        <f aca="false">Inputs!$B$40*AF12</f>
        <v>0</v>
      </c>
      <c r="AH12" s="33" t="n">
        <f aca="false">Inputs!$B$39/4*AE12</f>
        <v>0</v>
      </c>
      <c r="AI12" s="33" t="n">
        <f aca="false">IF(A12=MAX($A$7:$A$46),AE12,MIN(AE12,Inputs!$B$41*MAX(0,IF(C12=1,H12,H12-J12-K12)-AH12)))</f>
        <v>0</v>
      </c>
      <c r="AJ12" s="33" t="n">
        <f aca="false">AE12+AF12-AI12</f>
        <v>0</v>
      </c>
      <c r="AK12" s="33" t="n">
        <f aca="false">AF12-AG12</f>
        <v>0</v>
      </c>
      <c r="AL12" s="18" t="n">
        <f aca="false">IF(I12&gt;0,AJ12/I12,0)</f>
        <v>0</v>
      </c>
      <c r="AM12" s="33" t="n">
        <f aca="false">IF(C12=1,H12,MAX(0,H12-J12-K12))</f>
        <v>0</v>
      </c>
      <c r="AN12" s="33" t="n">
        <f aca="false">AN11+AM12</f>
        <v>0</v>
      </c>
      <c r="AO12" s="33" t="n">
        <f aca="false">MAX(0,Inputs!$B$23*MAX(0,AN12-P12)-AP11)</f>
        <v>0</v>
      </c>
      <c r="AP12" s="33" t="n">
        <f aca="false">AP11+AO12</f>
        <v>0</v>
      </c>
      <c r="AQ12" s="33" t="n">
        <f aca="false">AM12-AO12</f>
        <v>0</v>
      </c>
      <c r="AR12" s="33" t="n">
        <f aca="false">MAX(0,Inputs!$B$23*MAX(0,AN12+I12-P12)-AP12)</f>
        <v>0</v>
      </c>
      <c r="AS12" s="33" t="n">
        <f aca="false">I12-AR12</f>
        <v>28.3498177641909</v>
      </c>
      <c r="AT12" s="33" t="n">
        <f aca="false">AT11+AQ12</f>
        <v>0</v>
      </c>
      <c r="AU12" s="33" t="n">
        <f aca="false">-L12+AQ12</f>
        <v>-4.7875</v>
      </c>
      <c r="AV12" s="33" t="n">
        <f aca="false">IF(B12&lt;Inputs!$B$31,AU12,IF(B12=Inputs!$B$31,AU12+AS12,0))</f>
        <v>-4.7875</v>
      </c>
      <c r="AW12" s="34" t="n">
        <f aca="false">IF(P12&gt;0,(AT12+AS12)/P12,0)</f>
        <v>0.986938825559299</v>
      </c>
    </row>
    <row r="13" customFormat="false" ht="15" hidden="false" customHeight="false" outlineLevel="0" collapsed="false">
      <c r="A13" s="30" t="n">
        <f aca="false">A12+1</f>
        <v>7</v>
      </c>
      <c r="B13" s="31" t="n">
        <f aca="false">EOMONTH(Inputs!$B$17,3*(A13-1))</f>
        <v>45565</v>
      </c>
      <c r="C13" s="30" t="n">
        <f aca="false">IF(A13&lt;=Inputs!$B$18,1,0)</f>
        <v>1</v>
      </c>
      <c r="D13" s="33" t="n">
        <f aca="false">I12</f>
        <v>28.3498177641909</v>
      </c>
      <c r="E13" s="33" t="n">
        <f aca="false">IF(C13=1,Inputs!$B$19*Inputs!$B$13/Inputs!$B$18,0)</f>
        <v>4.25</v>
      </c>
      <c r="F13" s="33" t="n">
        <f aca="false">D13*((1+Inputs!$B$24)^(1/4)-1)</f>
        <v>1.19768441633691</v>
      </c>
      <c r="G13" s="18" t="n">
        <f aca="false">IF(A13=MAX($A$7:$A$46),1,IF(A13&lt;Inputs!$B$25,0,MIN(1,Inputs!$B$26+Inputs!$B$27*(A13-Inputs!$B$25))))</f>
        <v>0</v>
      </c>
      <c r="H13" s="33" t="n">
        <f aca="false">G13*(D13+E13+F13)</f>
        <v>0</v>
      </c>
      <c r="I13" s="33" t="n">
        <f aca="false">D13+E13+F13-H13</f>
        <v>33.7975021805278</v>
      </c>
      <c r="J13" s="33" t="n">
        <f aca="false">IF(C13=1,Inputs!$B$20*Inputs!$B$13/4,Inputs!$B$21*D13/4)</f>
        <v>0.5</v>
      </c>
      <c r="K13" s="33" t="n">
        <f aca="false">Inputs!$B$22*Inputs!$B$13/4</f>
        <v>0.0375</v>
      </c>
      <c r="L13" s="33" t="n">
        <f aca="false">IF(C13=1,MIN(E13+J13+K13,Inputs!$B$13-P12),0)</f>
        <v>4.7875</v>
      </c>
      <c r="M13" s="33" t="n">
        <f aca="false">MAX(0,IF(C13=1,H13,H13-J13-K13)-AH13-AI13+AK13)</f>
        <v>0</v>
      </c>
      <c r="N13" s="33" t="n">
        <f aca="false">MAX(0,Inputs!$B$23*MAX(0,Q13-P13)-R12)</f>
        <v>0</v>
      </c>
      <c r="O13" s="33" t="n">
        <f aca="false">M13-N13</f>
        <v>0</v>
      </c>
      <c r="P13" s="33" t="n">
        <f aca="false">P12+L13</f>
        <v>33.5125</v>
      </c>
      <c r="Q13" s="33" t="n">
        <f aca="false">Q12+M13</f>
        <v>0</v>
      </c>
      <c r="R13" s="33" t="n">
        <f aca="false">R12+N13</f>
        <v>0</v>
      </c>
      <c r="S13" s="33" t="n">
        <f aca="false">MAX(0,Inputs!$B$23*MAX(0,Q13+I13-AJ13-P13)-R13)</f>
        <v>0.057000436105551</v>
      </c>
      <c r="T13" s="33" t="n">
        <f aca="false">I13-AJ13-S13</f>
        <v>33.7405017444222</v>
      </c>
      <c r="U13" s="33" t="n">
        <f aca="false">U12+O13</f>
        <v>0</v>
      </c>
      <c r="V13" s="34" t="n">
        <f aca="false">IF(P13&gt;0,U13/P13,0)</f>
        <v>0</v>
      </c>
      <c r="W13" s="34" t="n">
        <f aca="false">IF(P13&gt;0,T13/P13,0)</f>
        <v>1.00680348360827</v>
      </c>
      <c r="X13" s="34" t="n">
        <f aca="false">V13+W13</f>
        <v>1.00680348360827</v>
      </c>
      <c r="Y13" s="33" t="n">
        <f aca="false">-L13+O13</f>
        <v>-4.7875</v>
      </c>
      <c r="Z13" s="33" t="n">
        <f aca="false">IF(B13&lt;Inputs!$B$31,Y13,IF(B13=Inputs!$B$31,Y13+T13,0))</f>
        <v>-4.7875</v>
      </c>
      <c r="AA13" s="33" t="n">
        <f aca="false">-E13+H13</f>
        <v>-4.25</v>
      </c>
      <c r="AB13" s="33" t="n">
        <f aca="false">IF(B13&lt;Inputs!$B$31,AA13,IF(B13=Inputs!$B$31,AA13+I13,0))</f>
        <v>-4.25</v>
      </c>
      <c r="AC13" s="33" t="n">
        <f aca="false">Inputs!$B$13-P13</f>
        <v>66.4875</v>
      </c>
      <c r="AD13" s="33" t="n">
        <f aca="false">N13+S13-S12</f>
        <v>0.057000436105551</v>
      </c>
      <c r="AE13" s="33" t="n">
        <f aca="false">AJ12</f>
        <v>0</v>
      </c>
      <c r="AF13" s="33" t="n">
        <f aca="false">IF(AND(Inputs!$B$35=1,A13=Inputs!$B$36),MIN(Inputs!$B$37*I13,Inputs!$B$38),0)</f>
        <v>0</v>
      </c>
      <c r="AG13" s="33" t="n">
        <f aca="false">Inputs!$B$40*AF13</f>
        <v>0</v>
      </c>
      <c r="AH13" s="33" t="n">
        <f aca="false">Inputs!$B$39/4*AE13</f>
        <v>0</v>
      </c>
      <c r="AI13" s="33" t="n">
        <f aca="false">IF(A13=MAX($A$7:$A$46),AE13,MIN(AE13,Inputs!$B$41*MAX(0,IF(C13=1,H13,H13-J13-K13)-AH13)))</f>
        <v>0</v>
      </c>
      <c r="AJ13" s="33" t="n">
        <f aca="false">AE13+AF13-AI13</f>
        <v>0</v>
      </c>
      <c r="AK13" s="33" t="n">
        <f aca="false">AF13-AG13</f>
        <v>0</v>
      </c>
      <c r="AL13" s="18" t="n">
        <f aca="false">IF(I13&gt;0,AJ13/I13,0)</f>
        <v>0</v>
      </c>
      <c r="AM13" s="33" t="n">
        <f aca="false">IF(C13=1,H13,MAX(0,H13-J13-K13))</f>
        <v>0</v>
      </c>
      <c r="AN13" s="33" t="n">
        <f aca="false">AN12+AM13</f>
        <v>0</v>
      </c>
      <c r="AO13" s="33" t="n">
        <f aca="false">MAX(0,Inputs!$B$23*MAX(0,AN13-P13)-AP12)</f>
        <v>0</v>
      </c>
      <c r="AP13" s="33" t="n">
        <f aca="false">AP12+AO13</f>
        <v>0</v>
      </c>
      <c r="AQ13" s="33" t="n">
        <f aca="false">AM13-AO13</f>
        <v>0</v>
      </c>
      <c r="AR13" s="33" t="n">
        <f aca="false">MAX(0,Inputs!$B$23*MAX(0,AN13+I13-P13)-AP13)</f>
        <v>0.057000436105551</v>
      </c>
      <c r="AS13" s="33" t="n">
        <f aca="false">I13-AR13</f>
        <v>33.7405017444222</v>
      </c>
      <c r="AT13" s="33" t="n">
        <f aca="false">AT12+AQ13</f>
        <v>0</v>
      </c>
      <c r="AU13" s="33" t="n">
        <f aca="false">-L13+AQ13</f>
        <v>-4.7875</v>
      </c>
      <c r="AV13" s="33" t="n">
        <f aca="false">IF(B13&lt;Inputs!$B$31,AU13,IF(B13=Inputs!$B$31,AU13+AS13,0))</f>
        <v>-4.7875</v>
      </c>
      <c r="AW13" s="34" t="n">
        <f aca="false">IF(P13&gt;0,(AT13+AS13)/P13,0)</f>
        <v>1.00680348360827</v>
      </c>
    </row>
    <row r="14" customFormat="false" ht="15" hidden="false" customHeight="false" outlineLevel="0" collapsed="false">
      <c r="A14" s="30" t="n">
        <f aca="false">A13+1</f>
        <v>8</v>
      </c>
      <c r="B14" s="31" t="n">
        <f aca="false">EOMONTH(Inputs!$B$17,3*(A14-1))</f>
        <v>45657</v>
      </c>
      <c r="C14" s="30" t="n">
        <f aca="false">IF(A14&lt;=Inputs!$B$18,1,0)</f>
        <v>1</v>
      </c>
      <c r="D14" s="33" t="n">
        <f aca="false">I13</f>
        <v>33.7975021805278</v>
      </c>
      <c r="E14" s="33" t="n">
        <f aca="false">IF(C14=1,Inputs!$B$19*Inputs!$B$13/Inputs!$B$18,0)</f>
        <v>4.25</v>
      </c>
      <c r="F14" s="33" t="n">
        <f aca="false">D14*((1+Inputs!$B$24)^(1/4)-1)</f>
        <v>1.42783075395497</v>
      </c>
      <c r="G14" s="18" t="n">
        <f aca="false">IF(A14=MAX($A$7:$A$46),1,IF(A14&lt;Inputs!$B$25,0,MIN(1,Inputs!$B$26+Inputs!$B$27*(A14-Inputs!$B$25))))</f>
        <v>0</v>
      </c>
      <c r="H14" s="33" t="n">
        <f aca="false">G14*(D14+E14+F14)</f>
        <v>0</v>
      </c>
      <c r="I14" s="33" t="n">
        <f aca="false">D14+E14+F14-H14</f>
        <v>39.4753329344827</v>
      </c>
      <c r="J14" s="33" t="n">
        <f aca="false">IF(C14=1,Inputs!$B$20*Inputs!$B$13/4,Inputs!$B$21*D14/4)</f>
        <v>0.5</v>
      </c>
      <c r="K14" s="33" t="n">
        <f aca="false">Inputs!$B$22*Inputs!$B$13/4</f>
        <v>0.0375</v>
      </c>
      <c r="L14" s="33" t="n">
        <f aca="false">IF(C14=1,MIN(E14+J14+K14,Inputs!$B$13-P13),0)</f>
        <v>4.7875</v>
      </c>
      <c r="M14" s="33" t="n">
        <f aca="false">MAX(0,IF(C14=1,H14,H14-J14-K14)-AH14-AI14+AK14)</f>
        <v>0</v>
      </c>
      <c r="N14" s="33" t="n">
        <f aca="false">MAX(0,Inputs!$B$23*MAX(0,Q14-P14)-R13)</f>
        <v>0</v>
      </c>
      <c r="O14" s="33" t="n">
        <f aca="false">M14-N14</f>
        <v>0</v>
      </c>
      <c r="P14" s="33" t="n">
        <f aca="false">P13+L14</f>
        <v>38.3</v>
      </c>
      <c r="Q14" s="33" t="n">
        <f aca="false">Q13+M14</f>
        <v>0</v>
      </c>
      <c r="R14" s="33" t="n">
        <f aca="false">R13+N14</f>
        <v>0</v>
      </c>
      <c r="S14" s="33" t="n">
        <f aca="false">MAX(0,Inputs!$B$23*MAX(0,Q14+I14-AJ14-P14)-R14)</f>
        <v>0.235066586896545</v>
      </c>
      <c r="T14" s="33" t="n">
        <f aca="false">I14-AJ14-S14</f>
        <v>39.2402663475862</v>
      </c>
      <c r="U14" s="33" t="n">
        <f aca="false">U13+O14</f>
        <v>0</v>
      </c>
      <c r="V14" s="34" t="n">
        <f aca="false">IF(P14&gt;0,U14/P14,0)</f>
        <v>0</v>
      </c>
      <c r="W14" s="34" t="n">
        <f aca="false">IF(P14&gt;0,T14/P14,0)</f>
        <v>1.02455003518502</v>
      </c>
      <c r="X14" s="34" t="n">
        <f aca="false">V14+W14</f>
        <v>1.02455003518502</v>
      </c>
      <c r="Y14" s="33" t="n">
        <f aca="false">-L14+O14</f>
        <v>-4.7875</v>
      </c>
      <c r="Z14" s="33" t="n">
        <f aca="false">IF(B14&lt;Inputs!$B$31,Y14,IF(B14=Inputs!$B$31,Y14+T14,0))</f>
        <v>-4.7875</v>
      </c>
      <c r="AA14" s="33" t="n">
        <f aca="false">-E14+H14</f>
        <v>-4.25</v>
      </c>
      <c r="AB14" s="33" t="n">
        <f aca="false">IF(B14&lt;Inputs!$B$31,AA14,IF(B14=Inputs!$B$31,AA14+I14,0))</f>
        <v>-4.25</v>
      </c>
      <c r="AC14" s="33" t="n">
        <f aca="false">Inputs!$B$13-P14</f>
        <v>61.7</v>
      </c>
      <c r="AD14" s="33" t="n">
        <f aca="false">N14+S14-S13</f>
        <v>0.178066150790994</v>
      </c>
      <c r="AE14" s="33" t="n">
        <f aca="false">AJ13</f>
        <v>0</v>
      </c>
      <c r="AF14" s="33" t="n">
        <f aca="false">IF(AND(Inputs!$B$35=1,A14=Inputs!$B$36),MIN(Inputs!$B$37*I14,Inputs!$B$38),0)</f>
        <v>0</v>
      </c>
      <c r="AG14" s="33" t="n">
        <f aca="false">Inputs!$B$40*AF14</f>
        <v>0</v>
      </c>
      <c r="AH14" s="33" t="n">
        <f aca="false">Inputs!$B$39/4*AE14</f>
        <v>0</v>
      </c>
      <c r="AI14" s="33" t="n">
        <f aca="false">IF(A14=MAX($A$7:$A$46),AE14,MIN(AE14,Inputs!$B$41*MAX(0,IF(C14=1,H14,H14-J14-K14)-AH14)))</f>
        <v>0</v>
      </c>
      <c r="AJ14" s="33" t="n">
        <f aca="false">AE14+AF14-AI14</f>
        <v>0</v>
      </c>
      <c r="AK14" s="33" t="n">
        <f aca="false">AF14-AG14</f>
        <v>0</v>
      </c>
      <c r="AL14" s="18" t="n">
        <f aca="false">IF(I14&gt;0,AJ14/I14,0)</f>
        <v>0</v>
      </c>
      <c r="AM14" s="33" t="n">
        <f aca="false">IF(C14=1,H14,MAX(0,H14-J14-K14))</f>
        <v>0</v>
      </c>
      <c r="AN14" s="33" t="n">
        <f aca="false">AN13+AM14</f>
        <v>0</v>
      </c>
      <c r="AO14" s="33" t="n">
        <f aca="false">MAX(0,Inputs!$B$23*MAX(0,AN14-P14)-AP13)</f>
        <v>0</v>
      </c>
      <c r="AP14" s="33" t="n">
        <f aca="false">AP13+AO14</f>
        <v>0</v>
      </c>
      <c r="AQ14" s="33" t="n">
        <f aca="false">AM14-AO14</f>
        <v>0</v>
      </c>
      <c r="AR14" s="33" t="n">
        <f aca="false">MAX(0,Inputs!$B$23*MAX(0,AN14+I14-P14)-AP14)</f>
        <v>0.235066586896545</v>
      </c>
      <c r="AS14" s="33" t="n">
        <f aca="false">I14-AR14</f>
        <v>39.2402663475862</v>
      </c>
      <c r="AT14" s="33" t="n">
        <f aca="false">AT13+AQ14</f>
        <v>0</v>
      </c>
      <c r="AU14" s="33" t="n">
        <f aca="false">-L14+AQ14</f>
        <v>-4.7875</v>
      </c>
      <c r="AV14" s="33" t="n">
        <f aca="false">IF(B14&lt;Inputs!$B$31,AU14,IF(B14=Inputs!$B$31,AU14+AS14,0))</f>
        <v>-4.7875</v>
      </c>
      <c r="AW14" s="34" t="n">
        <f aca="false">IF(P14&gt;0,(AT14+AS14)/P14,0)</f>
        <v>1.02455003518502</v>
      </c>
    </row>
    <row r="15" customFormat="false" ht="15" hidden="false" customHeight="false" outlineLevel="0" collapsed="false">
      <c r="A15" s="30" t="n">
        <f aca="false">A14+1</f>
        <v>9</v>
      </c>
      <c r="B15" s="31" t="n">
        <f aca="false">EOMONTH(Inputs!$B$17,3*(A15-1))</f>
        <v>45747</v>
      </c>
      <c r="C15" s="30" t="n">
        <f aca="false">IF(A15&lt;=Inputs!$B$18,1,0)</f>
        <v>1</v>
      </c>
      <c r="D15" s="33" t="n">
        <f aca="false">I14</f>
        <v>39.4753329344827</v>
      </c>
      <c r="E15" s="33" t="n">
        <f aca="false">IF(C15=1,Inputs!$B$19*Inputs!$B$13/Inputs!$B$18,0)</f>
        <v>4.25</v>
      </c>
      <c r="F15" s="33" t="n">
        <f aca="false">D15*((1+Inputs!$B$24)^(1/4)-1)</f>
        <v>1.6677</v>
      </c>
      <c r="G15" s="18" t="n">
        <f aca="false">IF(A15=MAX($A$7:$A$46),1,IF(A15&lt;Inputs!$B$25,0,MIN(1,Inputs!$B$26+Inputs!$B$27*(A15-Inputs!$B$25))))</f>
        <v>0</v>
      </c>
      <c r="H15" s="33" t="n">
        <f aca="false">G15*(D15+E15+F15)</f>
        <v>0</v>
      </c>
      <c r="I15" s="33" t="n">
        <f aca="false">D15+E15+F15-H15</f>
        <v>45.3930329344827</v>
      </c>
      <c r="J15" s="33" t="n">
        <f aca="false">IF(C15=1,Inputs!$B$20*Inputs!$B$13/4,Inputs!$B$21*D15/4)</f>
        <v>0.5</v>
      </c>
      <c r="K15" s="33" t="n">
        <f aca="false">Inputs!$B$22*Inputs!$B$13/4</f>
        <v>0.0375</v>
      </c>
      <c r="L15" s="33" t="n">
        <f aca="false">IF(C15=1,MIN(E15+J15+K15,Inputs!$B$13-P14),0)</f>
        <v>4.7875</v>
      </c>
      <c r="M15" s="33" t="n">
        <f aca="false">MAX(0,IF(C15=1,H15,H15-J15-K15)-AH15-AI15+AK15)</f>
        <v>0</v>
      </c>
      <c r="N15" s="33" t="n">
        <f aca="false">MAX(0,Inputs!$B$23*MAX(0,Q15-P15)-R14)</f>
        <v>0</v>
      </c>
      <c r="O15" s="33" t="n">
        <f aca="false">M15-N15</f>
        <v>0</v>
      </c>
      <c r="P15" s="33" t="n">
        <f aca="false">P14+L15</f>
        <v>43.0875</v>
      </c>
      <c r="Q15" s="33" t="n">
        <f aca="false">Q14+M15</f>
        <v>0</v>
      </c>
      <c r="R15" s="33" t="n">
        <f aca="false">R14+N15</f>
        <v>0</v>
      </c>
      <c r="S15" s="33" t="n">
        <f aca="false">MAX(0,Inputs!$B$23*MAX(0,Q15+I15-AJ15-P15)-R15)</f>
        <v>0.461106586896544</v>
      </c>
      <c r="T15" s="33" t="n">
        <f aca="false">I15-AJ15-S15</f>
        <v>44.9319263475862</v>
      </c>
      <c r="U15" s="33" t="n">
        <f aca="false">U14+O15</f>
        <v>0</v>
      </c>
      <c r="V15" s="34" t="n">
        <f aca="false">IF(P15&gt;0,U15/P15,0)</f>
        <v>0</v>
      </c>
      <c r="W15" s="34" t="n">
        <f aca="false">IF(P15&gt;0,T15/P15,0)</f>
        <v>1.04280652967998</v>
      </c>
      <c r="X15" s="34" t="n">
        <f aca="false">V15+W15</f>
        <v>1.04280652967998</v>
      </c>
      <c r="Y15" s="33" t="n">
        <f aca="false">-L15+O15</f>
        <v>-4.7875</v>
      </c>
      <c r="Z15" s="33" t="n">
        <f aca="false">IF(B15&lt;Inputs!$B$31,Y15,IF(B15=Inputs!$B$31,Y15+T15,0))</f>
        <v>-4.7875</v>
      </c>
      <c r="AA15" s="33" t="n">
        <f aca="false">-E15+H15</f>
        <v>-4.25</v>
      </c>
      <c r="AB15" s="33" t="n">
        <f aca="false">IF(B15&lt;Inputs!$B$31,AA15,IF(B15=Inputs!$B$31,AA15+I15,0))</f>
        <v>-4.25</v>
      </c>
      <c r="AC15" s="33" t="n">
        <f aca="false">Inputs!$B$13-P15</f>
        <v>56.9125</v>
      </c>
      <c r="AD15" s="33" t="n">
        <f aca="false">N15+S15-S14</f>
        <v>0.226039999999999</v>
      </c>
      <c r="AE15" s="33" t="n">
        <f aca="false">AJ14</f>
        <v>0</v>
      </c>
      <c r="AF15" s="33" t="n">
        <f aca="false">IF(AND(Inputs!$B$35=1,A15=Inputs!$B$36),MIN(Inputs!$B$37*I15,Inputs!$B$38),0)</f>
        <v>0</v>
      </c>
      <c r="AG15" s="33" t="n">
        <f aca="false">Inputs!$B$40*AF15</f>
        <v>0</v>
      </c>
      <c r="AH15" s="33" t="n">
        <f aca="false">Inputs!$B$39/4*AE15</f>
        <v>0</v>
      </c>
      <c r="AI15" s="33" t="n">
        <f aca="false">IF(A15=MAX($A$7:$A$46),AE15,MIN(AE15,Inputs!$B$41*MAX(0,IF(C15=1,H15,H15-J15-K15)-AH15)))</f>
        <v>0</v>
      </c>
      <c r="AJ15" s="33" t="n">
        <f aca="false">AE15+AF15-AI15</f>
        <v>0</v>
      </c>
      <c r="AK15" s="33" t="n">
        <f aca="false">AF15-AG15</f>
        <v>0</v>
      </c>
      <c r="AL15" s="18" t="n">
        <f aca="false">IF(I15&gt;0,AJ15/I15,0)</f>
        <v>0</v>
      </c>
      <c r="AM15" s="33" t="n">
        <f aca="false">IF(C15=1,H15,MAX(0,H15-J15-K15))</f>
        <v>0</v>
      </c>
      <c r="AN15" s="33" t="n">
        <f aca="false">AN14+AM15</f>
        <v>0</v>
      </c>
      <c r="AO15" s="33" t="n">
        <f aca="false">MAX(0,Inputs!$B$23*MAX(0,AN15-P15)-AP14)</f>
        <v>0</v>
      </c>
      <c r="AP15" s="33" t="n">
        <f aca="false">AP14+AO15</f>
        <v>0</v>
      </c>
      <c r="AQ15" s="33" t="n">
        <f aca="false">AM15-AO15</f>
        <v>0</v>
      </c>
      <c r="AR15" s="33" t="n">
        <f aca="false">MAX(0,Inputs!$B$23*MAX(0,AN15+I15-P15)-AP15)</f>
        <v>0.461106586896544</v>
      </c>
      <c r="AS15" s="33" t="n">
        <f aca="false">I15-AR15</f>
        <v>44.9319263475862</v>
      </c>
      <c r="AT15" s="33" t="n">
        <f aca="false">AT14+AQ15</f>
        <v>0</v>
      </c>
      <c r="AU15" s="33" t="n">
        <f aca="false">-L15+AQ15</f>
        <v>-4.7875</v>
      </c>
      <c r="AV15" s="33" t="n">
        <f aca="false">IF(B15&lt;Inputs!$B$31,AU15,IF(B15=Inputs!$B$31,AU15+AS15,0))</f>
        <v>-4.7875</v>
      </c>
      <c r="AW15" s="34" t="n">
        <f aca="false">IF(P15&gt;0,(AT15+AS15)/P15,0)</f>
        <v>1.04280652967998</v>
      </c>
    </row>
    <row r="16" customFormat="false" ht="15" hidden="false" customHeight="false" outlineLevel="0" collapsed="false">
      <c r="A16" s="30" t="n">
        <f aca="false">A15+1</f>
        <v>10</v>
      </c>
      <c r="B16" s="31" t="n">
        <f aca="false">EOMONTH(Inputs!$B$17,3*(A16-1))</f>
        <v>45838</v>
      </c>
      <c r="C16" s="30" t="n">
        <f aca="false">IF(A16&lt;=Inputs!$B$18,1,0)</f>
        <v>1</v>
      </c>
      <c r="D16" s="33" t="n">
        <f aca="false">I15</f>
        <v>45.3930329344827</v>
      </c>
      <c r="E16" s="33" t="n">
        <f aca="false">IF(C16=1,Inputs!$B$19*Inputs!$B$13/Inputs!$B$18,0)</f>
        <v>4.25</v>
      </c>
      <c r="F16" s="33" t="n">
        <f aca="false">D16*((1+Inputs!$B$24)^(1/4)-1)</f>
        <v>1.91770291463987</v>
      </c>
      <c r="G16" s="18" t="n">
        <f aca="false">IF(A16=MAX($A$7:$A$46),1,IF(A16&lt;Inputs!$B$25,0,MIN(1,Inputs!$B$26+Inputs!$B$27*(A16-Inputs!$B$25))))</f>
        <v>0</v>
      </c>
      <c r="H16" s="33" t="n">
        <f aca="false">G16*(D16+E16+F16)</f>
        <v>0</v>
      </c>
      <c r="I16" s="33" t="n">
        <f aca="false">D16+E16+F16-H16</f>
        <v>51.5607358491226</v>
      </c>
      <c r="J16" s="33" t="n">
        <f aca="false">IF(C16=1,Inputs!$B$20*Inputs!$B$13/4,Inputs!$B$21*D16/4)</f>
        <v>0.5</v>
      </c>
      <c r="K16" s="33" t="n">
        <f aca="false">Inputs!$B$22*Inputs!$B$13/4</f>
        <v>0.0375</v>
      </c>
      <c r="L16" s="33" t="n">
        <f aca="false">IF(C16=1,MIN(E16+J16+K16,Inputs!$B$13-P15),0)</f>
        <v>4.7875</v>
      </c>
      <c r="M16" s="33" t="n">
        <f aca="false">MAX(0,IF(C16=1,H16,H16-J16-K16)-AH16-AI16+AK16)</f>
        <v>0</v>
      </c>
      <c r="N16" s="33" t="n">
        <f aca="false">MAX(0,Inputs!$B$23*MAX(0,Q16-P16)-R15)</f>
        <v>0</v>
      </c>
      <c r="O16" s="33" t="n">
        <f aca="false">M16-N16</f>
        <v>0</v>
      </c>
      <c r="P16" s="33" t="n">
        <f aca="false">P15+L16</f>
        <v>47.875</v>
      </c>
      <c r="Q16" s="33" t="n">
        <f aca="false">Q15+M16</f>
        <v>0</v>
      </c>
      <c r="R16" s="33" t="n">
        <f aca="false">R15+N16</f>
        <v>0</v>
      </c>
      <c r="S16" s="33" t="n">
        <f aca="false">MAX(0,Inputs!$B$23*MAX(0,Q16+I16-AJ16-P16)-R16)</f>
        <v>0.737147169824517</v>
      </c>
      <c r="T16" s="33" t="n">
        <f aca="false">I16-AJ16-S16</f>
        <v>50.8235886792981</v>
      </c>
      <c r="U16" s="33" t="n">
        <f aca="false">U15+O16</f>
        <v>0</v>
      </c>
      <c r="V16" s="34" t="n">
        <f aca="false">IF(P16&gt;0,U16/P16,0)</f>
        <v>0</v>
      </c>
      <c r="W16" s="34" t="n">
        <f aca="false">IF(P16&gt;0,T16/P16,0)</f>
        <v>1.06158931967202</v>
      </c>
      <c r="X16" s="34" t="n">
        <f aca="false">V16+W16</f>
        <v>1.06158931967202</v>
      </c>
      <c r="Y16" s="33" t="n">
        <f aca="false">-L16+O16</f>
        <v>-4.7875</v>
      </c>
      <c r="Z16" s="33" t="n">
        <f aca="false">IF(B16&lt;Inputs!$B$31,Y16,IF(B16=Inputs!$B$31,Y16+T16,0))</f>
        <v>-4.7875</v>
      </c>
      <c r="AA16" s="33" t="n">
        <f aca="false">-E16+H16</f>
        <v>-4.25</v>
      </c>
      <c r="AB16" s="33" t="n">
        <f aca="false">IF(B16&lt;Inputs!$B$31,AA16,IF(B16=Inputs!$B$31,AA16+I16,0))</f>
        <v>-4.25</v>
      </c>
      <c r="AC16" s="33" t="n">
        <f aca="false">Inputs!$B$13-P16</f>
        <v>52.125</v>
      </c>
      <c r="AD16" s="33" t="n">
        <f aca="false">N16+S16-S15</f>
        <v>0.276040582927973</v>
      </c>
      <c r="AE16" s="33" t="n">
        <f aca="false">AJ15</f>
        <v>0</v>
      </c>
      <c r="AF16" s="33" t="n">
        <f aca="false">IF(AND(Inputs!$B$35=1,A16=Inputs!$B$36),MIN(Inputs!$B$37*I16,Inputs!$B$38),0)</f>
        <v>0</v>
      </c>
      <c r="AG16" s="33" t="n">
        <f aca="false">Inputs!$B$40*AF16</f>
        <v>0</v>
      </c>
      <c r="AH16" s="33" t="n">
        <f aca="false">Inputs!$B$39/4*AE16</f>
        <v>0</v>
      </c>
      <c r="AI16" s="33" t="n">
        <f aca="false">IF(A16=MAX($A$7:$A$46),AE16,MIN(AE16,Inputs!$B$41*MAX(0,IF(C16=1,H16,H16-J16-K16)-AH16)))</f>
        <v>0</v>
      </c>
      <c r="AJ16" s="33" t="n">
        <f aca="false">AE16+AF16-AI16</f>
        <v>0</v>
      </c>
      <c r="AK16" s="33" t="n">
        <f aca="false">AF16-AG16</f>
        <v>0</v>
      </c>
      <c r="AL16" s="18" t="n">
        <f aca="false">IF(I16&gt;0,AJ16/I16,0)</f>
        <v>0</v>
      </c>
      <c r="AM16" s="33" t="n">
        <f aca="false">IF(C16=1,H16,MAX(0,H16-J16-K16))</f>
        <v>0</v>
      </c>
      <c r="AN16" s="33" t="n">
        <f aca="false">AN15+AM16</f>
        <v>0</v>
      </c>
      <c r="AO16" s="33" t="n">
        <f aca="false">MAX(0,Inputs!$B$23*MAX(0,AN16-P16)-AP15)</f>
        <v>0</v>
      </c>
      <c r="AP16" s="33" t="n">
        <f aca="false">AP15+AO16</f>
        <v>0</v>
      </c>
      <c r="AQ16" s="33" t="n">
        <f aca="false">AM16-AO16</f>
        <v>0</v>
      </c>
      <c r="AR16" s="33" t="n">
        <f aca="false">MAX(0,Inputs!$B$23*MAX(0,AN16+I16-P16)-AP16)</f>
        <v>0.737147169824517</v>
      </c>
      <c r="AS16" s="33" t="n">
        <f aca="false">I16-AR16</f>
        <v>50.8235886792981</v>
      </c>
      <c r="AT16" s="33" t="n">
        <f aca="false">AT15+AQ16</f>
        <v>0</v>
      </c>
      <c r="AU16" s="33" t="n">
        <f aca="false">-L16+AQ16</f>
        <v>-4.7875</v>
      </c>
      <c r="AV16" s="33" t="n">
        <f aca="false">IF(B16&lt;Inputs!$B$31,AU16,IF(B16=Inputs!$B$31,AU16+AS16,0))</f>
        <v>-4.7875</v>
      </c>
      <c r="AW16" s="34" t="n">
        <f aca="false">IF(P16&gt;0,(AT16+AS16)/P16,0)</f>
        <v>1.06158931967202</v>
      </c>
    </row>
    <row r="17" customFormat="false" ht="15" hidden="false" customHeight="false" outlineLevel="0" collapsed="false">
      <c r="A17" s="30" t="n">
        <f aca="false">A16+1</f>
        <v>11</v>
      </c>
      <c r="B17" s="31" t="n">
        <f aca="false">EOMONTH(Inputs!$B$17,3*(A17-1))</f>
        <v>45930</v>
      </c>
      <c r="C17" s="30" t="n">
        <f aca="false">IF(A17&lt;=Inputs!$B$18,1,0)</f>
        <v>1</v>
      </c>
      <c r="D17" s="33" t="n">
        <f aca="false">I16</f>
        <v>51.5607358491226</v>
      </c>
      <c r="E17" s="33" t="n">
        <f aca="false">IF(C17=1,Inputs!$B$19*Inputs!$B$13/Inputs!$B$18,0)</f>
        <v>4.25</v>
      </c>
      <c r="F17" s="33" t="n">
        <f aca="false">D17*((1+Inputs!$B$24)^(1/4)-1)</f>
        <v>2.17826761127755</v>
      </c>
      <c r="G17" s="18" t="n">
        <f aca="false">IF(A17=MAX($A$7:$A$46),1,IF(A17&lt;Inputs!$B$25,0,MIN(1,Inputs!$B$26+Inputs!$B$27*(A17-Inputs!$B$25))))</f>
        <v>0</v>
      </c>
      <c r="H17" s="33" t="n">
        <f aca="false">G17*(D17+E17+F17)</f>
        <v>0</v>
      </c>
      <c r="I17" s="33" t="n">
        <f aca="false">D17+E17+F17-H17</f>
        <v>57.9890034604001</v>
      </c>
      <c r="J17" s="33" t="n">
        <f aca="false">IF(C17=1,Inputs!$B$20*Inputs!$B$13/4,Inputs!$B$21*D17/4)</f>
        <v>0.5</v>
      </c>
      <c r="K17" s="33" t="n">
        <f aca="false">Inputs!$B$22*Inputs!$B$13/4</f>
        <v>0.0375</v>
      </c>
      <c r="L17" s="33" t="n">
        <f aca="false">IF(C17=1,MIN(E17+J17+K17,Inputs!$B$13-P16),0)</f>
        <v>4.7875</v>
      </c>
      <c r="M17" s="33" t="n">
        <f aca="false">MAX(0,IF(C17=1,H17,H17-J17-K17)-AH17-AI17+AK17)</f>
        <v>0</v>
      </c>
      <c r="N17" s="33" t="n">
        <f aca="false">MAX(0,Inputs!$B$23*MAX(0,Q17-P17)-R16)</f>
        <v>0</v>
      </c>
      <c r="O17" s="33" t="n">
        <f aca="false">M17-N17</f>
        <v>0</v>
      </c>
      <c r="P17" s="33" t="n">
        <f aca="false">P16+L17</f>
        <v>52.6625</v>
      </c>
      <c r="Q17" s="33" t="n">
        <f aca="false">Q16+M17</f>
        <v>0</v>
      </c>
      <c r="R17" s="33" t="n">
        <f aca="false">R16+N17</f>
        <v>0</v>
      </c>
      <c r="S17" s="33" t="n">
        <f aca="false">MAX(0,Inputs!$B$23*MAX(0,Q17+I17-AJ17-P17)-R17)</f>
        <v>1.06530069208003</v>
      </c>
      <c r="T17" s="33" t="n">
        <f aca="false">I17-AJ17-S17</f>
        <v>56.9237027683201</v>
      </c>
      <c r="U17" s="33" t="n">
        <f aca="false">U16+O17</f>
        <v>0</v>
      </c>
      <c r="V17" s="34" t="n">
        <f aca="false">IF(P17&gt;0,U17/P17,0)</f>
        <v>0</v>
      </c>
      <c r="W17" s="34" t="n">
        <f aca="false">IF(P17&gt;0,T17/P17,0)</f>
        <v>1.08091531485061</v>
      </c>
      <c r="X17" s="34" t="n">
        <f aca="false">V17+W17</f>
        <v>1.08091531485061</v>
      </c>
      <c r="Y17" s="33" t="n">
        <f aca="false">-L17+O17</f>
        <v>-4.7875</v>
      </c>
      <c r="Z17" s="33" t="n">
        <f aca="false">IF(B17&lt;Inputs!$B$31,Y17,IF(B17=Inputs!$B$31,Y17+T17,0))</f>
        <v>-4.7875</v>
      </c>
      <c r="AA17" s="33" t="n">
        <f aca="false">-E17+H17</f>
        <v>-4.25</v>
      </c>
      <c r="AB17" s="33" t="n">
        <f aca="false">IF(B17&lt;Inputs!$B$31,AA17,IF(B17=Inputs!$B$31,AA17+I17,0))</f>
        <v>-4.25</v>
      </c>
      <c r="AC17" s="33" t="n">
        <f aca="false">Inputs!$B$13-P17</f>
        <v>47.3375</v>
      </c>
      <c r="AD17" s="33" t="n">
        <f aca="false">N17+S17-S16</f>
        <v>0.328153522255509</v>
      </c>
      <c r="AE17" s="33" t="n">
        <f aca="false">AJ16</f>
        <v>0</v>
      </c>
      <c r="AF17" s="33" t="n">
        <f aca="false">IF(AND(Inputs!$B$35=1,A17=Inputs!$B$36),MIN(Inputs!$B$37*I17,Inputs!$B$38),0)</f>
        <v>0</v>
      </c>
      <c r="AG17" s="33" t="n">
        <f aca="false">Inputs!$B$40*AF17</f>
        <v>0</v>
      </c>
      <c r="AH17" s="33" t="n">
        <f aca="false">Inputs!$B$39/4*AE17</f>
        <v>0</v>
      </c>
      <c r="AI17" s="33" t="n">
        <f aca="false">IF(A17=MAX($A$7:$A$46),AE17,MIN(AE17,Inputs!$B$41*MAX(0,IF(C17=1,H17,H17-J17-K17)-AH17)))</f>
        <v>0</v>
      </c>
      <c r="AJ17" s="33" t="n">
        <f aca="false">AE17+AF17-AI17</f>
        <v>0</v>
      </c>
      <c r="AK17" s="33" t="n">
        <f aca="false">AF17-AG17</f>
        <v>0</v>
      </c>
      <c r="AL17" s="18" t="n">
        <f aca="false">IF(I17&gt;0,AJ17/I17,0)</f>
        <v>0</v>
      </c>
      <c r="AM17" s="33" t="n">
        <f aca="false">IF(C17=1,H17,MAX(0,H17-J17-K17))</f>
        <v>0</v>
      </c>
      <c r="AN17" s="33" t="n">
        <f aca="false">AN16+AM17</f>
        <v>0</v>
      </c>
      <c r="AO17" s="33" t="n">
        <f aca="false">MAX(0,Inputs!$B$23*MAX(0,AN17-P17)-AP16)</f>
        <v>0</v>
      </c>
      <c r="AP17" s="33" t="n">
        <f aca="false">AP16+AO17</f>
        <v>0</v>
      </c>
      <c r="AQ17" s="33" t="n">
        <f aca="false">AM17-AO17</f>
        <v>0</v>
      </c>
      <c r="AR17" s="33" t="n">
        <f aca="false">MAX(0,Inputs!$B$23*MAX(0,AN17+I17-P17)-AP17)</f>
        <v>1.06530069208003</v>
      </c>
      <c r="AS17" s="33" t="n">
        <f aca="false">I17-AR17</f>
        <v>56.9237027683201</v>
      </c>
      <c r="AT17" s="33" t="n">
        <f aca="false">AT16+AQ17</f>
        <v>0</v>
      </c>
      <c r="AU17" s="33" t="n">
        <f aca="false">-L17+AQ17</f>
        <v>-4.7875</v>
      </c>
      <c r="AV17" s="33" t="n">
        <f aca="false">IF(B17&lt;Inputs!$B$31,AU17,IF(B17=Inputs!$B$31,AU17+AS17,0))</f>
        <v>-4.7875</v>
      </c>
      <c r="AW17" s="34" t="n">
        <f aca="false">IF(P17&gt;0,(AT17+AS17)/P17,0)</f>
        <v>1.08091531485061</v>
      </c>
    </row>
    <row r="18" customFormat="false" ht="15" hidden="false" customHeight="false" outlineLevel="0" collapsed="false">
      <c r="A18" s="30" t="n">
        <f aca="false">A17+1</f>
        <v>12</v>
      </c>
      <c r="B18" s="31" t="n">
        <f aca="false">EOMONTH(Inputs!$B$17,3*(A18-1))</f>
        <v>46022</v>
      </c>
      <c r="C18" s="30" t="n">
        <f aca="false">IF(A18&lt;=Inputs!$B$18,1,0)</f>
        <v>1</v>
      </c>
      <c r="D18" s="33" t="n">
        <f aca="false">I17</f>
        <v>57.9890034604001</v>
      </c>
      <c r="E18" s="33" t="n">
        <f aca="false">IF(C18=1,Inputs!$B$19*Inputs!$B$13/Inputs!$B$18,0)</f>
        <v>4.25</v>
      </c>
      <c r="F18" s="33" t="n">
        <f aca="false">D18*((1+Inputs!$B$24)^(1/4)-1)</f>
        <v>2.44984028966687</v>
      </c>
      <c r="G18" s="18" t="n">
        <f aca="false">IF(A18=MAX($A$7:$A$46),1,IF(A18&lt;Inputs!$B$25,0,MIN(1,Inputs!$B$26+Inputs!$B$27*(A18-Inputs!$B$25))))</f>
        <v>0</v>
      </c>
      <c r="H18" s="33" t="n">
        <f aca="false">G18*(D18+E18+F18)</f>
        <v>0</v>
      </c>
      <c r="I18" s="33" t="n">
        <f aca="false">D18+E18+F18-H18</f>
        <v>64.688843750067</v>
      </c>
      <c r="J18" s="33" t="n">
        <f aca="false">IF(C18=1,Inputs!$B$20*Inputs!$B$13/4,Inputs!$B$21*D18/4)</f>
        <v>0.5</v>
      </c>
      <c r="K18" s="33" t="n">
        <f aca="false">Inputs!$B$22*Inputs!$B$13/4</f>
        <v>0.0375</v>
      </c>
      <c r="L18" s="33" t="n">
        <f aca="false">IF(C18=1,MIN(E18+J18+K18,Inputs!$B$13-P17),0)</f>
        <v>4.7875</v>
      </c>
      <c r="M18" s="33" t="n">
        <f aca="false">MAX(0,IF(C18=1,H18,H18-J18-K18)-AH18-AI18+AK18)</f>
        <v>0</v>
      </c>
      <c r="N18" s="33" t="n">
        <f aca="false">MAX(0,Inputs!$B$23*MAX(0,Q18-P18)-R17)</f>
        <v>0</v>
      </c>
      <c r="O18" s="33" t="n">
        <f aca="false">M18-N18</f>
        <v>0</v>
      </c>
      <c r="P18" s="33" t="n">
        <f aca="false">P17+L18</f>
        <v>57.45</v>
      </c>
      <c r="Q18" s="33" t="n">
        <f aca="false">Q17+M18</f>
        <v>0</v>
      </c>
      <c r="R18" s="33" t="n">
        <f aca="false">R17+N18</f>
        <v>0</v>
      </c>
      <c r="S18" s="33" t="n">
        <f aca="false">MAX(0,Inputs!$B$23*MAX(0,Q18+I18-AJ18-P18)-R18)</f>
        <v>1.4477687500134</v>
      </c>
      <c r="T18" s="33" t="n">
        <f aca="false">I18-AJ18-S18</f>
        <v>63.2410750000536</v>
      </c>
      <c r="U18" s="33" t="n">
        <f aca="false">U17+O18</f>
        <v>0</v>
      </c>
      <c r="V18" s="34" t="n">
        <f aca="false">IF(P18&gt;0,U18/P18,0)</f>
        <v>0</v>
      </c>
      <c r="W18" s="34" t="n">
        <f aca="false">IF(P18&gt;0,T18/P18,0)</f>
        <v>1.10080200174158</v>
      </c>
      <c r="X18" s="34" t="n">
        <f aca="false">V18+W18</f>
        <v>1.10080200174158</v>
      </c>
      <c r="Y18" s="33" t="n">
        <f aca="false">-L18+O18</f>
        <v>-4.7875</v>
      </c>
      <c r="Z18" s="33" t="n">
        <f aca="false">IF(B18&lt;Inputs!$B$31,Y18,IF(B18=Inputs!$B$31,Y18+T18,0))</f>
        <v>-4.7875</v>
      </c>
      <c r="AA18" s="33" t="n">
        <f aca="false">-E18+H18</f>
        <v>-4.25</v>
      </c>
      <c r="AB18" s="33" t="n">
        <f aca="false">IF(B18&lt;Inputs!$B$31,AA18,IF(B18=Inputs!$B$31,AA18+I18,0))</f>
        <v>-4.25</v>
      </c>
      <c r="AC18" s="33" t="n">
        <f aca="false">Inputs!$B$13-P18</f>
        <v>42.55</v>
      </c>
      <c r="AD18" s="33" t="n">
        <f aca="false">N18+S18-S17</f>
        <v>0.382468057933373</v>
      </c>
      <c r="AE18" s="33" t="n">
        <f aca="false">AJ17</f>
        <v>0</v>
      </c>
      <c r="AF18" s="33" t="n">
        <f aca="false">IF(AND(Inputs!$B$35=1,A18=Inputs!$B$36),MIN(Inputs!$B$37*I18,Inputs!$B$38),0)</f>
        <v>0</v>
      </c>
      <c r="AG18" s="33" t="n">
        <f aca="false">Inputs!$B$40*AF18</f>
        <v>0</v>
      </c>
      <c r="AH18" s="33" t="n">
        <f aca="false">Inputs!$B$39/4*AE18</f>
        <v>0</v>
      </c>
      <c r="AI18" s="33" t="n">
        <f aca="false">IF(A18=MAX($A$7:$A$46),AE18,MIN(AE18,Inputs!$B$41*MAX(0,IF(C18=1,H18,H18-J18-K18)-AH18)))</f>
        <v>0</v>
      </c>
      <c r="AJ18" s="33" t="n">
        <f aca="false">AE18+AF18-AI18</f>
        <v>0</v>
      </c>
      <c r="AK18" s="33" t="n">
        <f aca="false">AF18-AG18</f>
        <v>0</v>
      </c>
      <c r="AL18" s="18" t="n">
        <f aca="false">IF(I18&gt;0,AJ18/I18,0)</f>
        <v>0</v>
      </c>
      <c r="AM18" s="33" t="n">
        <f aca="false">IF(C18=1,H18,MAX(0,H18-J18-K18))</f>
        <v>0</v>
      </c>
      <c r="AN18" s="33" t="n">
        <f aca="false">AN17+AM18</f>
        <v>0</v>
      </c>
      <c r="AO18" s="33" t="n">
        <f aca="false">MAX(0,Inputs!$B$23*MAX(0,AN18-P18)-AP17)</f>
        <v>0</v>
      </c>
      <c r="AP18" s="33" t="n">
        <f aca="false">AP17+AO18</f>
        <v>0</v>
      </c>
      <c r="AQ18" s="33" t="n">
        <f aca="false">AM18-AO18</f>
        <v>0</v>
      </c>
      <c r="AR18" s="33" t="n">
        <f aca="false">MAX(0,Inputs!$B$23*MAX(0,AN18+I18-P18)-AP18)</f>
        <v>1.4477687500134</v>
      </c>
      <c r="AS18" s="33" t="n">
        <f aca="false">I18-AR18</f>
        <v>63.2410750000536</v>
      </c>
      <c r="AT18" s="33" t="n">
        <f aca="false">AT17+AQ18</f>
        <v>0</v>
      </c>
      <c r="AU18" s="33" t="n">
        <f aca="false">-L18+AQ18</f>
        <v>-4.7875</v>
      </c>
      <c r="AV18" s="33" t="n">
        <f aca="false">IF(B18&lt;Inputs!$B$31,AU18,IF(B18=Inputs!$B$31,AU18+AS18,0))</f>
        <v>-4.7875</v>
      </c>
      <c r="AW18" s="34" t="n">
        <f aca="false">IF(P18&gt;0,(AT18+AS18)/P18,0)</f>
        <v>1.10080200174158</v>
      </c>
    </row>
    <row r="19" customFormat="false" ht="15" hidden="false" customHeight="false" outlineLevel="0" collapsed="false">
      <c r="A19" s="30" t="n">
        <f aca="false">A18+1</f>
        <v>13</v>
      </c>
      <c r="B19" s="31" t="n">
        <f aca="false">EOMONTH(Inputs!$B$17,3*(A19-1))</f>
        <v>46112</v>
      </c>
      <c r="C19" s="30" t="n">
        <f aca="false">IF(A19&lt;=Inputs!$B$18,1,0)</f>
        <v>1</v>
      </c>
      <c r="D19" s="33" t="n">
        <f aca="false">I18</f>
        <v>64.688843750067</v>
      </c>
      <c r="E19" s="33" t="n">
        <f aca="false">IF(C19=1,Inputs!$B$19*Inputs!$B$13/Inputs!$B$18,0)</f>
        <v>4.25</v>
      </c>
      <c r="F19" s="33" t="n">
        <f aca="false">D19*((1+Inputs!$B$24)^(1/4)-1)</f>
        <v>2.732886</v>
      </c>
      <c r="G19" s="18" t="n">
        <f aca="false">IF(A19=MAX($A$7:$A$46),1,IF(A19&lt;Inputs!$B$25,0,MIN(1,Inputs!$B$26+Inputs!$B$27*(A19-Inputs!$B$25))))</f>
        <v>0</v>
      </c>
      <c r="H19" s="33" t="n">
        <f aca="false">G19*(D19+E19+F19)</f>
        <v>0</v>
      </c>
      <c r="I19" s="33" t="n">
        <f aca="false">D19+E19+F19-H19</f>
        <v>71.671729750067</v>
      </c>
      <c r="J19" s="33" t="n">
        <f aca="false">IF(C19=1,Inputs!$B$20*Inputs!$B$13/4,Inputs!$B$21*D19/4)</f>
        <v>0.5</v>
      </c>
      <c r="K19" s="33" t="n">
        <f aca="false">Inputs!$B$22*Inputs!$B$13/4</f>
        <v>0.0375</v>
      </c>
      <c r="L19" s="33" t="n">
        <f aca="false">IF(C19=1,MIN(E19+J19+K19,Inputs!$B$13-P18),0)</f>
        <v>4.7875</v>
      </c>
      <c r="M19" s="33" t="n">
        <f aca="false">MAX(0,IF(C19=1,H19,H19-J19-K19)-AH19-AI19+AK19)</f>
        <v>0</v>
      </c>
      <c r="N19" s="33" t="n">
        <f aca="false">MAX(0,Inputs!$B$23*MAX(0,Q19-P19)-R18)</f>
        <v>0</v>
      </c>
      <c r="O19" s="33" t="n">
        <f aca="false">M19-N19</f>
        <v>0</v>
      </c>
      <c r="P19" s="33" t="n">
        <f aca="false">P18+L19</f>
        <v>62.2375</v>
      </c>
      <c r="Q19" s="33" t="n">
        <f aca="false">Q18+M19</f>
        <v>0</v>
      </c>
      <c r="R19" s="33" t="n">
        <f aca="false">R18+N19</f>
        <v>0</v>
      </c>
      <c r="S19" s="33" t="n">
        <f aca="false">MAX(0,Inputs!$B$23*MAX(0,Q19+I19-AJ19-P19)-R19)</f>
        <v>1.8868459500134</v>
      </c>
      <c r="T19" s="33" t="n">
        <f aca="false">I19-AJ19-S19</f>
        <v>69.7848838000536</v>
      </c>
      <c r="U19" s="33" t="n">
        <f aca="false">U18+O19</f>
        <v>0</v>
      </c>
      <c r="V19" s="34" t="n">
        <f aca="false">IF(P19&gt;0,U19/P19,0)</f>
        <v>0</v>
      </c>
      <c r="W19" s="34" t="n">
        <f aca="false">IF(P19&gt;0,T19/P19,0)</f>
        <v>1.12126746415029</v>
      </c>
      <c r="X19" s="34" t="n">
        <f aca="false">V19+W19</f>
        <v>1.12126746415029</v>
      </c>
      <c r="Y19" s="33" t="n">
        <f aca="false">-L19+O19</f>
        <v>-4.7875</v>
      </c>
      <c r="Z19" s="33" t="n">
        <f aca="false">IF(B19&lt;Inputs!$B$31,Y19,IF(B19=Inputs!$B$31,Y19+T19,0))</f>
        <v>-4.7875</v>
      </c>
      <c r="AA19" s="33" t="n">
        <f aca="false">-E19+H19</f>
        <v>-4.25</v>
      </c>
      <c r="AB19" s="33" t="n">
        <f aca="false">IF(B19&lt;Inputs!$B$31,AA19,IF(B19=Inputs!$B$31,AA19+I19,0))</f>
        <v>-4.25</v>
      </c>
      <c r="AC19" s="33" t="n">
        <f aca="false">Inputs!$B$13-P19</f>
        <v>37.7625</v>
      </c>
      <c r="AD19" s="33" t="n">
        <f aca="false">N19+S19-S18</f>
        <v>0.439077199999998</v>
      </c>
      <c r="AE19" s="33" t="n">
        <f aca="false">AJ18</f>
        <v>0</v>
      </c>
      <c r="AF19" s="33" t="n">
        <f aca="false">IF(AND(Inputs!$B$35=1,A19=Inputs!$B$36),MIN(Inputs!$B$37*I19,Inputs!$B$38),0)</f>
        <v>0</v>
      </c>
      <c r="AG19" s="33" t="n">
        <f aca="false">Inputs!$B$40*AF19</f>
        <v>0</v>
      </c>
      <c r="AH19" s="33" t="n">
        <f aca="false">Inputs!$B$39/4*AE19</f>
        <v>0</v>
      </c>
      <c r="AI19" s="33" t="n">
        <f aca="false">IF(A19=MAX($A$7:$A$46),AE19,MIN(AE19,Inputs!$B$41*MAX(0,IF(C19=1,H19,H19-J19-K19)-AH19)))</f>
        <v>0</v>
      </c>
      <c r="AJ19" s="33" t="n">
        <f aca="false">AE19+AF19-AI19</f>
        <v>0</v>
      </c>
      <c r="AK19" s="33" t="n">
        <f aca="false">AF19-AG19</f>
        <v>0</v>
      </c>
      <c r="AL19" s="18" t="n">
        <f aca="false">IF(I19&gt;0,AJ19/I19,0)</f>
        <v>0</v>
      </c>
      <c r="AM19" s="33" t="n">
        <f aca="false">IF(C19=1,H19,MAX(0,H19-J19-K19))</f>
        <v>0</v>
      </c>
      <c r="AN19" s="33" t="n">
        <f aca="false">AN18+AM19</f>
        <v>0</v>
      </c>
      <c r="AO19" s="33" t="n">
        <f aca="false">MAX(0,Inputs!$B$23*MAX(0,AN19-P19)-AP18)</f>
        <v>0</v>
      </c>
      <c r="AP19" s="33" t="n">
        <f aca="false">AP18+AO19</f>
        <v>0</v>
      </c>
      <c r="AQ19" s="33" t="n">
        <f aca="false">AM19-AO19</f>
        <v>0</v>
      </c>
      <c r="AR19" s="33" t="n">
        <f aca="false">MAX(0,Inputs!$B$23*MAX(0,AN19+I19-P19)-AP19)</f>
        <v>1.8868459500134</v>
      </c>
      <c r="AS19" s="33" t="n">
        <f aca="false">I19-AR19</f>
        <v>69.7848838000536</v>
      </c>
      <c r="AT19" s="33" t="n">
        <f aca="false">AT18+AQ19</f>
        <v>0</v>
      </c>
      <c r="AU19" s="33" t="n">
        <f aca="false">-L19+AQ19</f>
        <v>-4.7875</v>
      </c>
      <c r="AV19" s="33" t="n">
        <f aca="false">IF(B19&lt;Inputs!$B$31,AU19,IF(B19=Inputs!$B$31,AU19+AS19,0))</f>
        <v>-4.7875</v>
      </c>
      <c r="AW19" s="34" t="n">
        <f aca="false">IF(P19&gt;0,(AT19+AS19)/P19,0)</f>
        <v>1.12126746415029</v>
      </c>
    </row>
    <row r="20" customFormat="false" ht="15" hidden="false" customHeight="false" outlineLevel="0" collapsed="false">
      <c r="A20" s="30" t="n">
        <f aca="false">A19+1</f>
        <v>14</v>
      </c>
      <c r="B20" s="31" t="n">
        <f aca="false">EOMONTH(Inputs!$B$17,3*(A20-1))</f>
        <v>46203</v>
      </c>
      <c r="C20" s="30" t="n">
        <f aca="false">IF(A20&lt;=Inputs!$B$18,1,0)</f>
        <v>1</v>
      </c>
      <c r="D20" s="33" t="n">
        <f aca="false">I19</f>
        <v>71.671729750067</v>
      </c>
      <c r="E20" s="33" t="n">
        <f aca="false">IF(C20=1,Inputs!$B$19*Inputs!$B$13/Inputs!$B$18,0)</f>
        <v>4.25</v>
      </c>
      <c r="F20" s="33" t="n">
        <f aca="false">D20*((1+Inputs!$B$24)^(1/4)-1)</f>
        <v>3.02788943927505</v>
      </c>
      <c r="G20" s="18" t="n">
        <f aca="false">IF(A20=MAX($A$7:$A$46),1,IF(A20&lt;Inputs!$B$25,0,MIN(1,Inputs!$B$26+Inputs!$B$27*(A20-Inputs!$B$25))))</f>
        <v>0</v>
      </c>
      <c r="H20" s="33" t="n">
        <f aca="false">G20*(D20+E20+F20)</f>
        <v>0</v>
      </c>
      <c r="I20" s="33" t="n">
        <f aca="false">D20+E20+F20-H20</f>
        <v>78.949619189342</v>
      </c>
      <c r="J20" s="33" t="n">
        <f aca="false">IF(C20=1,Inputs!$B$20*Inputs!$B$13/4,Inputs!$B$21*D20/4)</f>
        <v>0.5</v>
      </c>
      <c r="K20" s="33" t="n">
        <f aca="false">Inputs!$B$22*Inputs!$B$13/4</f>
        <v>0.0375</v>
      </c>
      <c r="L20" s="33" t="n">
        <f aca="false">IF(C20=1,MIN(E20+J20+K20,Inputs!$B$13-P19),0)</f>
        <v>4.7875</v>
      </c>
      <c r="M20" s="33" t="n">
        <f aca="false">MAX(0,IF(C20=1,H20,H20-J20-K20)-AH20-AI20+AK20)</f>
        <v>0</v>
      </c>
      <c r="N20" s="33" t="n">
        <f aca="false">MAX(0,Inputs!$B$23*MAX(0,Q20-P20)-R19)</f>
        <v>0</v>
      </c>
      <c r="O20" s="33" t="n">
        <f aca="false">M20-N20</f>
        <v>0</v>
      </c>
      <c r="P20" s="33" t="n">
        <f aca="false">P19+L20</f>
        <v>67.025</v>
      </c>
      <c r="Q20" s="33" t="n">
        <f aca="false">Q19+M20</f>
        <v>0</v>
      </c>
      <c r="R20" s="33" t="n">
        <f aca="false">R19+N20</f>
        <v>0</v>
      </c>
      <c r="S20" s="33" t="n">
        <f aca="false">MAX(0,Inputs!$B$23*MAX(0,Q20+I20-AJ20-P20)-R20)</f>
        <v>2.38492383786841</v>
      </c>
      <c r="T20" s="33" t="n">
        <f aca="false">I20-AJ20-S20</f>
        <v>76.5646953514736</v>
      </c>
      <c r="U20" s="33" t="n">
        <f aca="false">U19+O20</f>
        <v>0</v>
      </c>
      <c r="V20" s="34" t="n">
        <f aca="false">IF(P20&gt;0,U20/P20,0)</f>
        <v>0</v>
      </c>
      <c r="W20" s="34" t="n">
        <f aca="false">IF(P20&gt;0,T20/P20,0)</f>
        <v>1.14233040434873</v>
      </c>
      <c r="X20" s="34" t="n">
        <f aca="false">V20+W20</f>
        <v>1.14233040434873</v>
      </c>
      <c r="Y20" s="33" t="n">
        <f aca="false">-L20+O20</f>
        <v>-4.7875</v>
      </c>
      <c r="Z20" s="33" t="n">
        <f aca="false">IF(B20&lt;Inputs!$B$31,Y20,IF(B20=Inputs!$B$31,Y20+T20,0))</f>
        <v>-4.7875</v>
      </c>
      <c r="AA20" s="33" t="n">
        <f aca="false">-E20+H20</f>
        <v>-4.25</v>
      </c>
      <c r="AB20" s="33" t="n">
        <f aca="false">IF(B20&lt;Inputs!$B$31,AA20,IF(B20=Inputs!$B$31,AA20+I20,0))</f>
        <v>-4.25</v>
      </c>
      <c r="AC20" s="33" t="n">
        <f aca="false">Inputs!$B$13-P20</f>
        <v>32.975</v>
      </c>
      <c r="AD20" s="33" t="n">
        <f aca="false">N20+S20-S19</f>
        <v>0.49807788785501</v>
      </c>
      <c r="AE20" s="33" t="n">
        <f aca="false">AJ19</f>
        <v>0</v>
      </c>
      <c r="AF20" s="33" t="n">
        <f aca="false">IF(AND(Inputs!$B$35=1,A20=Inputs!$B$36),MIN(Inputs!$B$37*I20,Inputs!$B$38),0)</f>
        <v>0</v>
      </c>
      <c r="AG20" s="33" t="n">
        <f aca="false">Inputs!$B$40*AF20</f>
        <v>0</v>
      </c>
      <c r="AH20" s="33" t="n">
        <f aca="false">Inputs!$B$39/4*AE20</f>
        <v>0</v>
      </c>
      <c r="AI20" s="33" t="n">
        <f aca="false">IF(A20=MAX($A$7:$A$46),AE20,MIN(AE20,Inputs!$B$41*MAX(0,IF(C20=1,H20,H20-J20-K20)-AH20)))</f>
        <v>0</v>
      </c>
      <c r="AJ20" s="33" t="n">
        <f aca="false">AE20+AF20-AI20</f>
        <v>0</v>
      </c>
      <c r="AK20" s="33" t="n">
        <f aca="false">AF20-AG20</f>
        <v>0</v>
      </c>
      <c r="AL20" s="18" t="n">
        <f aca="false">IF(I20&gt;0,AJ20/I20,0)</f>
        <v>0</v>
      </c>
      <c r="AM20" s="33" t="n">
        <f aca="false">IF(C20=1,H20,MAX(0,H20-J20-K20))</f>
        <v>0</v>
      </c>
      <c r="AN20" s="33" t="n">
        <f aca="false">AN19+AM20</f>
        <v>0</v>
      </c>
      <c r="AO20" s="33" t="n">
        <f aca="false">MAX(0,Inputs!$B$23*MAX(0,AN20-P20)-AP19)</f>
        <v>0</v>
      </c>
      <c r="AP20" s="33" t="n">
        <f aca="false">AP19+AO20</f>
        <v>0</v>
      </c>
      <c r="AQ20" s="33" t="n">
        <f aca="false">AM20-AO20</f>
        <v>0</v>
      </c>
      <c r="AR20" s="33" t="n">
        <f aca="false">MAX(0,Inputs!$B$23*MAX(0,AN20+I20-P20)-AP20)</f>
        <v>2.38492383786841</v>
      </c>
      <c r="AS20" s="33" t="n">
        <f aca="false">I20-AR20</f>
        <v>76.5646953514736</v>
      </c>
      <c r="AT20" s="33" t="n">
        <f aca="false">AT19+AQ20</f>
        <v>0</v>
      </c>
      <c r="AU20" s="33" t="n">
        <f aca="false">-L20+AQ20</f>
        <v>-4.7875</v>
      </c>
      <c r="AV20" s="33" t="n">
        <f aca="false">IF(B20&lt;Inputs!$B$31,AU20,IF(B20=Inputs!$B$31,AU20+AS20,0))</f>
        <v>-4.7875</v>
      </c>
      <c r="AW20" s="34" t="n">
        <f aca="false">IF(P20&gt;0,(AT20+AS20)/P20,0)</f>
        <v>1.14233040434873</v>
      </c>
    </row>
    <row r="21" customFormat="false" ht="15" hidden="false" customHeight="false" outlineLevel="0" collapsed="false">
      <c r="A21" s="30" t="n">
        <f aca="false">A20+1</f>
        <v>15</v>
      </c>
      <c r="B21" s="31" t="n">
        <f aca="false">EOMONTH(Inputs!$B$17,3*(A21-1))</f>
        <v>46295</v>
      </c>
      <c r="C21" s="30" t="n">
        <f aca="false">IF(A21&lt;=Inputs!$B$18,1,0)</f>
        <v>1</v>
      </c>
      <c r="D21" s="33" t="n">
        <f aca="false">I20</f>
        <v>78.949619189342</v>
      </c>
      <c r="E21" s="33" t="n">
        <f aca="false">IF(C21=1,Inputs!$B$19*Inputs!$B$13/Inputs!$B$18,0)</f>
        <v>4.25</v>
      </c>
      <c r="F21" s="33" t="n">
        <f aca="false">D21*((1+Inputs!$B$24)^(1/4)-1)</f>
        <v>3.33535578130751</v>
      </c>
      <c r="G21" s="18" t="n">
        <f aca="false">IF(A21=MAX($A$7:$A$46),1,IF(A21&lt;Inputs!$B$25,0,MIN(1,Inputs!$B$26+Inputs!$B$27*(A21-Inputs!$B$25))))</f>
        <v>0</v>
      </c>
      <c r="H21" s="33" t="n">
        <f aca="false">G21*(D21+E21+F21)</f>
        <v>0</v>
      </c>
      <c r="I21" s="33" t="n">
        <f aca="false">D21+E21+F21-H21</f>
        <v>86.5349749706496</v>
      </c>
      <c r="J21" s="33" t="n">
        <f aca="false">IF(C21=1,Inputs!$B$20*Inputs!$B$13/4,Inputs!$B$21*D21/4)</f>
        <v>0.5</v>
      </c>
      <c r="K21" s="33" t="n">
        <f aca="false">Inputs!$B$22*Inputs!$B$13/4</f>
        <v>0.0375</v>
      </c>
      <c r="L21" s="33" t="n">
        <f aca="false">IF(C21=1,MIN(E21+J21+K21,Inputs!$B$13-P20),0)</f>
        <v>4.7875</v>
      </c>
      <c r="M21" s="33" t="n">
        <f aca="false">MAX(0,IF(C21=1,H21,H21-J21-K21)-AH21-AI21+AK21)</f>
        <v>0</v>
      </c>
      <c r="N21" s="33" t="n">
        <f aca="false">MAX(0,Inputs!$B$23*MAX(0,Q21-P21)-R20)</f>
        <v>0</v>
      </c>
      <c r="O21" s="33" t="n">
        <f aca="false">M21-N21</f>
        <v>0</v>
      </c>
      <c r="P21" s="33" t="n">
        <f aca="false">P20+L21</f>
        <v>71.8125</v>
      </c>
      <c r="Q21" s="33" t="n">
        <f aca="false">Q20+M21</f>
        <v>0</v>
      </c>
      <c r="R21" s="33" t="n">
        <f aca="false">R20+N21</f>
        <v>0</v>
      </c>
      <c r="S21" s="33" t="n">
        <f aca="false">MAX(0,Inputs!$B$23*MAX(0,Q21+I21-AJ21-P21)-R21)</f>
        <v>2.94449499412991</v>
      </c>
      <c r="T21" s="33" t="n">
        <f aca="false">I21-AJ21-S21</f>
        <v>83.5904799765197</v>
      </c>
      <c r="U21" s="33" t="n">
        <f aca="false">U20+O21</f>
        <v>0</v>
      </c>
      <c r="V21" s="34" t="n">
        <f aca="false">IF(P21&gt;0,U21/P21,0)</f>
        <v>0</v>
      </c>
      <c r="W21" s="34" t="n">
        <f aca="false">IF(P21&gt;0,T21/P21,0)</f>
        <v>1.16401016503422</v>
      </c>
      <c r="X21" s="34" t="n">
        <f aca="false">V21+W21</f>
        <v>1.16401016503422</v>
      </c>
      <c r="Y21" s="33" t="n">
        <f aca="false">-L21+O21</f>
        <v>-4.7875</v>
      </c>
      <c r="Z21" s="33" t="n">
        <f aca="false">IF(B21&lt;Inputs!$B$31,Y21,IF(B21=Inputs!$B$31,Y21+T21,0))</f>
        <v>-4.7875</v>
      </c>
      <c r="AA21" s="33" t="n">
        <f aca="false">-E21+H21</f>
        <v>-4.25</v>
      </c>
      <c r="AB21" s="33" t="n">
        <f aca="false">IF(B21&lt;Inputs!$B$31,AA21,IF(B21=Inputs!$B$31,AA21+I21,0))</f>
        <v>-4.25</v>
      </c>
      <c r="AC21" s="33" t="n">
        <f aca="false">Inputs!$B$13-P21</f>
        <v>28.1875</v>
      </c>
      <c r="AD21" s="33" t="n">
        <f aca="false">N21+S21-S20</f>
        <v>0.559571156261504</v>
      </c>
      <c r="AE21" s="33" t="n">
        <f aca="false">AJ20</f>
        <v>0</v>
      </c>
      <c r="AF21" s="33" t="n">
        <f aca="false">IF(AND(Inputs!$B$35=1,A21=Inputs!$B$36),MIN(Inputs!$B$37*I21,Inputs!$B$38),0)</f>
        <v>0</v>
      </c>
      <c r="AG21" s="33" t="n">
        <f aca="false">Inputs!$B$40*AF21</f>
        <v>0</v>
      </c>
      <c r="AH21" s="33" t="n">
        <f aca="false">Inputs!$B$39/4*AE21</f>
        <v>0</v>
      </c>
      <c r="AI21" s="33" t="n">
        <f aca="false">IF(A21=MAX($A$7:$A$46),AE21,MIN(AE21,Inputs!$B$41*MAX(0,IF(C21=1,H21,H21-J21-K21)-AH21)))</f>
        <v>0</v>
      </c>
      <c r="AJ21" s="33" t="n">
        <f aca="false">AE21+AF21-AI21</f>
        <v>0</v>
      </c>
      <c r="AK21" s="33" t="n">
        <f aca="false">AF21-AG21</f>
        <v>0</v>
      </c>
      <c r="AL21" s="18" t="n">
        <f aca="false">IF(I21&gt;0,AJ21/I21,0)</f>
        <v>0</v>
      </c>
      <c r="AM21" s="33" t="n">
        <f aca="false">IF(C21=1,H21,MAX(0,H21-J21-K21))</f>
        <v>0</v>
      </c>
      <c r="AN21" s="33" t="n">
        <f aca="false">AN20+AM21</f>
        <v>0</v>
      </c>
      <c r="AO21" s="33" t="n">
        <f aca="false">MAX(0,Inputs!$B$23*MAX(0,AN21-P21)-AP20)</f>
        <v>0</v>
      </c>
      <c r="AP21" s="33" t="n">
        <f aca="false">AP20+AO21</f>
        <v>0</v>
      </c>
      <c r="AQ21" s="33" t="n">
        <f aca="false">AM21-AO21</f>
        <v>0</v>
      </c>
      <c r="AR21" s="33" t="n">
        <f aca="false">MAX(0,Inputs!$B$23*MAX(0,AN21+I21-P21)-AP21)</f>
        <v>2.94449499412991</v>
      </c>
      <c r="AS21" s="33" t="n">
        <f aca="false">I21-AR21</f>
        <v>83.5904799765197</v>
      </c>
      <c r="AT21" s="33" t="n">
        <f aca="false">AT20+AQ21</f>
        <v>0</v>
      </c>
      <c r="AU21" s="33" t="n">
        <f aca="false">-L21+AQ21</f>
        <v>-4.7875</v>
      </c>
      <c r="AV21" s="33" t="n">
        <f aca="false">IF(B21&lt;Inputs!$B$31,AU21,IF(B21=Inputs!$B$31,AU21+AS21,0))</f>
        <v>-4.7875</v>
      </c>
      <c r="AW21" s="34" t="n">
        <f aca="false">IF(P21&gt;0,(AT21+AS21)/P21,0)</f>
        <v>1.16401016503422</v>
      </c>
    </row>
    <row r="22" customFormat="false" ht="15" hidden="false" customHeight="false" outlineLevel="0" collapsed="false">
      <c r="A22" s="30" t="n">
        <f aca="false">A21+1</f>
        <v>16</v>
      </c>
      <c r="B22" s="31" t="n">
        <f aca="false">EOMONTH(Inputs!$B$17,3*(A22-1))</f>
        <v>46387</v>
      </c>
      <c r="C22" s="30" t="n">
        <f aca="false">IF(A22&lt;=Inputs!$B$18,1,0)</f>
        <v>1</v>
      </c>
      <c r="D22" s="33" t="n">
        <f aca="false">I21</f>
        <v>86.5349749706496</v>
      </c>
      <c r="E22" s="33" t="n">
        <f aca="false">IF(C22=1,Inputs!$B$19*Inputs!$B$13/Inputs!$B$18,0)</f>
        <v>4.25</v>
      </c>
      <c r="F22" s="33" t="n">
        <f aca="false">D22*((1+Inputs!$B$24)^(1/4)-1)</f>
        <v>3.6558115418069</v>
      </c>
      <c r="G22" s="18" t="n">
        <f aca="false">IF(A22=MAX($A$7:$A$46),1,IF(A22&lt;Inputs!$B$25,0,MIN(1,Inputs!$B$26+Inputs!$B$27*(A22-Inputs!$B$25))))</f>
        <v>0</v>
      </c>
      <c r="H22" s="33" t="n">
        <f aca="false">G22*(D22+E22+F22)</f>
        <v>0</v>
      </c>
      <c r="I22" s="33" t="n">
        <f aca="false">D22+E22+F22-H22</f>
        <v>94.4407865124565</v>
      </c>
      <c r="J22" s="33" t="n">
        <f aca="false">IF(C22=1,Inputs!$B$20*Inputs!$B$13/4,Inputs!$B$21*D22/4)</f>
        <v>0.5</v>
      </c>
      <c r="K22" s="33" t="n">
        <f aca="false">Inputs!$B$22*Inputs!$B$13/4</f>
        <v>0.0375</v>
      </c>
      <c r="L22" s="33" t="n">
        <f aca="false">IF(C22=1,MIN(E22+J22+K22,Inputs!$B$13-P21),0)</f>
        <v>4.7875</v>
      </c>
      <c r="M22" s="33" t="n">
        <f aca="false">MAX(0,IF(C22=1,H22,H22-J22-K22)-AH22-AI22+AK22)</f>
        <v>0</v>
      </c>
      <c r="N22" s="33" t="n">
        <f aca="false">MAX(0,Inputs!$B$23*MAX(0,Q22-P22)-R21)</f>
        <v>0</v>
      </c>
      <c r="O22" s="33" t="n">
        <f aca="false">M22-N22</f>
        <v>0</v>
      </c>
      <c r="P22" s="33" t="n">
        <f aca="false">P21+L22</f>
        <v>76.6</v>
      </c>
      <c r="Q22" s="33" t="n">
        <f aca="false">Q21+M22</f>
        <v>0</v>
      </c>
      <c r="R22" s="33" t="n">
        <f aca="false">R21+N22</f>
        <v>0</v>
      </c>
      <c r="S22" s="33" t="n">
        <f aca="false">MAX(0,Inputs!$B$23*MAX(0,Q22+I22-AJ22-P22)-R22)</f>
        <v>3.56815730249129</v>
      </c>
      <c r="T22" s="33" t="n">
        <f aca="false">I22-AJ22-S22</f>
        <v>90.8726292099652</v>
      </c>
      <c r="U22" s="33" t="n">
        <f aca="false">U21+O22</f>
        <v>0</v>
      </c>
      <c r="V22" s="34" t="n">
        <f aca="false">IF(P22&gt;0,U22/P22,0)</f>
        <v>0</v>
      </c>
      <c r="W22" s="34" t="n">
        <f aca="false">IF(P22&gt;0,T22/P22,0)</f>
        <v>1.18632675208832</v>
      </c>
      <c r="X22" s="34" t="n">
        <f aca="false">V22+W22</f>
        <v>1.18632675208832</v>
      </c>
      <c r="Y22" s="33" t="n">
        <f aca="false">-L22+O22</f>
        <v>-4.7875</v>
      </c>
      <c r="Z22" s="33" t="n">
        <f aca="false">IF(B22&lt;Inputs!$B$31,Y22,IF(B22=Inputs!$B$31,Y22+T22,0))</f>
        <v>-4.7875</v>
      </c>
      <c r="AA22" s="33" t="n">
        <f aca="false">-E22+H22</f>
        <v>-4.25</v>
      </c>
      <c r="AB22" s="33" t="n">
        <f aca="false">IF(B22&lt;Inputs!$B$31,AA22,IF(B22=Inputs!$B$31,AA22+I22,0))</f>
        <v>-4.25</v>
      </c>
      <c r="AC22" s="33" t="n">
        <f aca="false">Inputs!$B$13-P22</f>
        <v>23.4</v>
      </c>
      <c r="AD22" s="33" t="n">
        <f aca="false">N22+S22-S21</f>
        <v>0.623662308361381</v>
      </c>
      <c r="AE22" s="33" t="n">
        <f aca="false">AJ21</f>
        <v>0</v>
      </c>
      <c r="AF22" s="33" t="n">
        <f aca="false">IF(AND(Inputs!$B$35=1,A22=Inputs!$B$36),MIN(Inputs!$B$37*I22,Inputs!$B$38),0)</f>
        <v>0</v>
      </c>
      <c r="AG22" s="33" t="n">
        <f aca="false">Inputs!$B$40*AF22</f>
        <v>0</v>
      </c>
      <c r="AH22" s="33" t="n">
        <f aca="false">Inputs!$B$39/4*AE22</f>
        <v>0</v>
      </c>
      <c r="AI22" s="33" t="n">
        <f aca="false">IF(A22=MAX($A$7:$A$46),AE22,MIN(AE22,Inputs!$B$41*MAX(0,IF(C22=1,H22,H22-J22-K22)-AH22)))</f>
        <v>0</v>
      </c>
      <c r="AJ22" s="33" t="n">
        <f aca="false">AE22+AF22-AI22</f>
        <v>0</v>
      </c>
      <c r="AK22" s="33" t="n">
        <f aca="false">AF22-AG22</f>
        <v>0</v>
      </c>
      <c r="AL22" s="18" t="n">
        <f aca="false">IF(I22&gt;0,AJ22/I22,0)</f>
        <v>0</v>
      </c>
      <c r="AM22" s="33" t="n">
        <f aca="false">IF(C22=1,H22,MAX(0,H22-J22-K22))</f>
        <v>0</v>
      </c>
      <c r="AN22" s="33" t="n">
        <f aca="false">AN21+AM22</f>
        <v>0</v>
      </c>
      <c r="AO22" s="33" t="n">
        <f aca="false">MAX(0,Inputs!$B$23*MAX(0,AN22-P22)-AP21)</f>
        <v>0</v>
      </c>
      <c r="AP22" s="33" t="n">
        <f aca="false">AP21+AO22</f>
        <v>0</v>
      </c>
      <c r="AQ22" s="33" t="n">
        <f aca="false">AM22-AO22</f>
        <v>0</v>
      </c>
      <c r="AR22" s="33" t="n">
        <f aca="false">MAX(0,Inputs!$B$23*MAX(0,AN22+I22-P22)-AP22)</f>
        <v>3.56815730249129</v>
      </c>
      <c r="AS22" s="33" t="n">
        <f aca="false">I22-AR22</f>
        <v>90.8726292099652</v>
      </c>
      <c r="AT22" s="33" t="n">
        <f aca="false">AT21+AQ22</f>
        <v>0</v>
      </c>
      <c r="AU22" s="33" t="n">
        <f aca="false">-L22+AQ22</f>
        <v>-4.7875</v>
      </c>
      <c r="AV22" s="33" t="n">
        <f aca="false">IF(B22&lt;Inputs!$B$31,AU22,IF(B22=Inputs!$B$31,AU22+AS22,0))</f>
        <v>-4.7875</v>
      </c>
      <c r="AW22" s="34" t="n">
        <f aca="false">IF(P22&gt;0,(AT22+AS22)/P22,0)</f>
        <v>1.18632675208832</v>
      </c>
    </row>
    <row r="23" customFormat="false" ht="15" hidden="false" customHeight="false" outlineLevel="0" collapsed="false">
      <c r="A23" s="30" t="n">
        <f aca="false">A22+1</f>
        <v>17</v>
      </c>
      <c r="B23" s="31" t="n">
        <f aca="false">EOMONTH(Inputs!$B$17,3*(A23-1))</f>
        <v>46477</v>
      </c>
      <c r="C23" s="30" t="n">
        <f aca="false">IF(A23&lt;=Inputs!$B$18,1,0)</f>
        <v>1</v>
      </c>
      <c r="D23" s="33" t="n">
        <f aca="false">I22</f>
        <v>94.4407865124565</v>
      </c>
      <c r="E23" s="33" t="n">
        <f aca="false">IF(C23=1,Inputs!$B$19*Inputs!$B$13/Inputs!$B$18,0)</f>
        <v>4.25</v>
      </c>
      <c r="F23" s="33" t="n">
        <f aca="false">D23*((1+Inputs!$B$24)^(1/4)-1)</f>
        <v>3.98980548</v>
      </c>
      <c r="G23" s="18" t="n">
        <f aca="false">IF(A23=MAX($A$7:$A$46),1,IF(A23&lt;Inputs!$B$25,0,MIN(1,Inputs!$B$26+Inputs!$B$27*(A23-Inputs!$B$25))))</f>
        <v>0.04</v>
      </c>
      <c r="H23" s="33" t="n">
        <f aca="false">G23*(D23+E23+F23)</f>
        <v>4.10722367969826</v>
      </c>
      <c r="I23" s="33" t="n">
        <f aca="false">D23+E23+F23-H23</f>
        <v>98.5733683127582</v>
      </c>
      <c r="J23" s="33" t="n">
        <f aca="false">IF(C23=1,Inputs!$B$20*Inputs!$B$13/4,Inputs!$B$21*D23/4)</f>
        <v>0.5</v>
      </c>
      <c r="K23" s="33" t="n">
        <f aca="false">Inputs!$B$22*Inputs!$B$13/4</f>
        <v>0.0375</v>
      </c>
      <c r="L23" s="33" t="n">
        <f aca="false">IF(C23=1,MIN(E23+J23+K23,Inputs!$B$13-P22),0)</f>
        <v>4.7875</v>
      </c>
      <c r="M23" s="33" t="n">
        <f aca="false">MAX(0,IF(C23=1,H23,H23-J23-K23)-AH23-AI23+AK23)</f>
        <v>4.10722367969826</v>
      </c>
      <c r="N23" s="33" t="n">
        <f aca="false">MAX(0,Inputs!$B$23*MAX(0,Q23-P23)-R22)</f>
        <v>0</v>
      </c>
      <c r="O23" s="33" t="n">
        <f aca="false">M23-N23</f>
        <v>4.10722367969826</v>
      </c>
      <c r="P23" s="33" t="n">
        <f aca="false">P22+L23</f>
        <v>81.3875</v>
      </c>
      <c r="Q23" s="33" t="n">
        <f aca="false">Q22+M23</f>
        <v>4.10722367969826</v>
      </c>
      <c r="R23" s="33" t="n">
        <f aca="false">R22+N23</f>
        <v>0</v>
      </c>
      <c r="S23" s="33" t="n">
        <f aca="false">MAX(0,Inputs!$B$23*MAX(0,Q23+I23-AJ23-P23)-R23)</f>
        <v>4.25861839849129</v>
      </c>
      <c r="T23" s="33" t="n">
        <f aca="false">I23-AJ23-S23</f>
        <v>94.3147499142669</v>
      </c>
      <c r="U23" s="33" t="n">
        <f aca="false">U22+O23</f>
        <v>4.10722367969826</v>
      </c>
      <c r="V23" s="34" t="n">
        <f aca="false">IF(P23&gt;0,U23/P23,0)</f>
        <v>0.0504650429082876</v>
      </c>
      <c r="W23" s="34" t="n">
        <f aca="false">IF(P23&gt;0,T23/P23,0)</f>
        <v>1.15883581525746</v>
      </c>
      <c r="X23" s="34" t="n">
        <f aca="false">V23+W23</f>
        <v>1.20930085816575</v>
      </c>
      <c r="Y23" s="33" t="n">
        <f aca="false">-L23+O23</f>
        <v>-0.680276320301742</v>
      </c>
      <c r="Z23" s="33" t="n">
        <f aca="false">IF(B23&lt;Inputs!$B$31,Y23,IF(B23=Inputs!$B$31,Y23+T23,0))</f>
        <v>-0.680276320301742</v>
      </c>
      <c r="AA23" s="33" t="n">
        <f aca="false">-E23+H23</f>
        <v>-0.142776320301742</v>
      </c>
      <c r="AB23" s="33" t="n">
        <f aca="false">IF(B23&lt;Inputs!$B$31,AA23,IF(B23=Inputs!$B$31,AA23+I23,0))</f>
        <v>-0.142776320301742</v>
      </c>
      <c r="AC23" s="33" t="n">
        <f aca="false">Inputs!$B$13-P23</f>
        <v>18.6125</v>
      </c>
      <c r="AD23" s="33" t="n">
        <f aca="false">N23+S23-S22</f>
        <v>0.690461095999999</v>
      </c>
      <c r="AE23" s="33" t="n">
        <f aca="false">AJ22</f>
        <v>0</v>
      </c>
      <c r="AF23" s="33" t="n">
        <f aca="false">IF(AND(Inputs!$B$35=1,A23=Inputs!$B$36),MIN(Inputs!$B$37*I23,Inputs!$B$38),0)</f>
        <v>0</v>
      </c>
      <c r="AG23" s="33" t="n">
        <f aca="false">Inputs!$B$40*AF23</f>
        <v>0</v>
      </c>
      <c r="AH23" s="33" t="n">
        <f aca="false">Inputs!$B$39/4*AE23</f>
        <v>0</v>
      </c>
      <c r="AI23" s="33" t="n">
        <f aca="false">IF(A23=MAX($A$7:$A$46),AE23,MIN(AE23,Inputs!$B$41*MAX(0,IF(C23=1,H23,H23-J23-K23)-AH23)))</f>
        <v>0</v>
      </c>
      <c r="AJ23" s="33" t="n">
        <f aca="false">AE23+AF23-AI23</f>
        <v>0</v>
      </c>
      <c r="AK23" s="33" t="n">
        <f aca="false">AF23-AG23</f>
        <v>0</v>
      </c>
      <c r="AL23" s="18" t="n">
        <f aca="false">IF(I23&gt;0,AJ23/I23,0)</f>
        <v>0</v>
      </c>
      <c r="AM23" s="33" t="n">
        <f aca="false">IF(C23=1,H23,MAX(0,H23-J23-K23))</f>
        <v>4.10722367969826</v>
      </c>
      <c r="AN23" s="33" t="n">
        <f aca="false">AN22+AM23</f>
        <v>4.10722367969826</v>
      </c>
      <c r="AO23" s="33" t="n">
        <f aca="false">MAX(0,Inputs!$B$23*MAX(0,AN23-P23)-AP22)</f>
        <v>0</v>
      </c>
      <c r="AP23" s="33" t="n">
        <f aca="false">AP22+AO23</f>
        <v>0</v>
      </c>
      <c r="AQ23" s="33" t="n">
        <f aca="false">AM23-AO23</f>
        <v>4.10722367969826</v>
      </c>
      <c r="AR23" s="33" t="n">
        <f aca="false">MAX(0,Inputs!$B$23*MAX(0,AN23+I23-P23)-AP23)</f>
        <v>4.25861839849129</v>
      </c>
      <c r="AS23" s="33" t="n">
        <f aca="false">I23-AR23</f>
        <v>94.3147499142669</v>
      </c>
      <c r="AT23" s="33" t="n">
        <f aca="false">AT22+AQ23</f>
        <v>4.10722367969826</v>
      </c>
      <c r="AU23" s="33" t="n">
        <f aca="false">-L23+AQ23</f>
        <v>-0.680276320301742</v>
      </c>
      <c r="AV23" s="33" t="n">
        <f aca="false">IF(B23&lt;Inputs!$B$31,AU23,IF(B23=Inputs!$B$31,AU23+AS23,0))</f>
        <v>-0.680276320301742</v>
      </c>
      <c r="AW23" s="34" t="n">
        <f aca="false">IF(P23&gt;0,(AT23+AS23)/P23,0)</f>
        <v>1.20930085816575</v>
      </c>
    </row>
    <row r="24" customFormat="false" ht="15" hidden="false" customHeight="false" outlineLevel="0" collapsed="false">
      <c r="A24" s="30" t="n">
        <f aca="false">A23+1</f>
        <v>18</v>
      </c>
      <c r="B24" s="31" t="n">
        <f aca="false">EOMONTH(Inputs!$B$17,3*(A24-1))</f>
        <v>46568</v>
      </c>
      <c r="C24" s="30" t="n">
        <f aca="false">IF(A24&lt;=Inputs!$B$18,1,0)</f>
        <v>1</v>
      </c>
      <c r="D24" s="33" t="n">
        <f aca="false">I23</f>
        <v>98.5733683127582</v>
      </c>
      <c r="E24" s="33" t="n">
        <f aca="false">IF(C24=1,Inputs!$B$19*Inputs!$B$13/Inputs!$B$18,0)</f>
        <v>4.25</v>
      </c>
      <c r="F24" s="33" t="n">
        <f aca="false">D24*((1+Inputs!$B$24)^(1/4)-1)</f>
        <v>4.16439315681077</v>
      </c>
      <c r="G24" s="18" t="n">
        <f aca="false">IF(A24=MAX($A$7:$A$46),1,IF(A24&lt;Inputs!$B$25,0,MIN(1,Inputs!$B$26+Inputs!$B$27*(A24-Inputs!$B$25))))</f>
        <v>0.055</v>
      </c>
      <c r="H24" s="33" t="n">
        <f aca="false">G24*(D24+E24+F24)</f>
        <v>5.88432688082629</v>
      </c>
      <c r="I24" s="33" t="n">
        <f aca="false">D24+E24+F24-H24</f>
        <v>101.103434588743</v>
      </c>
      <c r="J24" s="33" t="n">
        <f aca="false">IF(C24=1,Inputs!$B$20*Inputs!$B$13/4,Inputs!$B$21*D24/4)</f>
        <v>0.5</v>
      </c>
      <c r="K24" s="33" t="n">
        <f aca="false">Inputs!$B$22*Inputs!$B$13/4</f>
        <v>0.0375</v>
      </c>
      <c r="L24" s="33" t="n">
        <f aca="false">IF(C24=1,MIN(E24+J24+K24,Inputs!$B$13-P23),0)</f>
        <v>4.7875</v>
      </c>
      <c r="M24" s="33" t="n">
        <f aca="false">MAX(0,IF(C24=1,H24,H24-J24-K24)-AH24-AI24+AK24)</f>
        <v>5.88432688082629</v>
      </c>
      <c r="N24" s="33" t="n">
        <f aca="false">MAX(0,Inputs!$B$23*MAX(0,Q24-P24)-R23)</f>
        <v>0</v>
      </c>
      <c r="O24" s="33" t="n">
        <f aca="false">M24-N24</f>
        <v>5.88432688082629</v>
      </c>
      <c r="P24" s="33" t="n">
        <f aca="false">P23+L24</f>
        <v>86.175</v>
      </c>
      <c r="Q24" s="33" t="n">
        <f aca="false">Q23+M24</f>
        <v>9.99155056052455</v>
      </c>
      <c r="R24" s="33" t="n">
        <f aca="false">R23+N24</f>
        <v>0</v>
      </c>
      <c r="S24" s="33" t="n">
        <f aca="false">MAX(0,Inputs!$B$23*MAX(0,Q24+I24-AJ24-P24)-R24)</f>
        <v>4.98399702985345</v>
      </c>
      <c r="T24" s="33" t="n">
        <f aca="false">I24-AJ24-S24</f>
        <v>96.1194375588892</v>
      </c>
      <c r="U24" s="33" t="n">
        <f aca="false">U23+O24</f>
        <v>9.99155056052455</v>
      </c>
      <c r="V24" s="34" t="n">
        <f aca="false">IF(P24&gt;0,U24/P24,0)</f>
        <v>0.115944886109946</v>
      </c>
      <c r="W24" s="34" t="n">
        <f aca="false">IF(P24&gt;0,T24/P24,0)</f>
        <v>1.11539817300713</v>
      </c>
      <c r="X24" s="34" t="n">
        <f aca="false">V24+W24</f>
        <v>1.23134305911707</v>
      </c>
      <c r="Y24" s="33" t="n">
        <f aca="false">-L24+O24</f>
        <v>1.09682688082629</v>
      </c>
      <c r="Z24" s="33" t="n">
        <f aca="false">IF(B24&lt;Inputs!$B$31,Y24,IF(B24=Inputs!$B$31,Y24+T24,0))</f>
        <v>1.09682688082629</v>
      </c>
      <c r="AA24" s="33" t="n">
        <f aca="false">-E24+H24</f>
        <v>1.63432688082629</v>
      </c>
      <c r="AB24" s="33" t="n">
        <f aca="false">IF(B24&lt;Inputs!$B$31,AA24,IF(B24=Inputs!$B$31,AA24+I24,0))</f>
        <v>1.63432688082629</v>
      </c>
      <c r="AC24" s="33" t="n">
        <f aca="false">Inputs!$B$13-P24</f>
        <v>13.825</v>
      </c>
      <c r="AD24" s="33" t="n">
        <f aca="false">N24+S24-S23</f>
        <v>0.725378631362156</v>
      </c>
      <c r="AE24" s="33" t="n">
        <f aca="false">AJ23</f>
        <v>0</v>
      </c>
      <c r="AF24" s="33" t="n">
        <f aca="false">IF(AND(Inputs!$B$35=1,A24=Inputs!$B$36),MIN(Inputs!$B$37*I24,Inputs!$B$38),0)</f>
        <v>0</v>
      </c>
      <c r="AG24" s="33" t="n">
        <f aca="false">Inputs!$B$40*AF24</f>
        <v>0</v>
      </c>
      <c r="AH24" s="33" t="n">
        <f aca="false">Inputs!$B$39/4*AE24</f>
        <v>0</v>
      </c>
      <c r="AI24" s="33" t="n">
        <f aca="false">IF(A24=MAX($A$7:$A$46),AE24,MIN(AE24,Inputs!$B$41*MAX(0,IF(C24=1,H24,H24-J24-K24)-AH24)))</f>
        <v>0</v>
      </c>
      <c r="AJ24" s="33" t="n">
        <f aca="false">AE24+AF24-AI24</f>
        <v>0</v>
      </c>
      <c r="AK24" s="33" t="n">
        <f aca="false">AF24-AG24</f>
        <v>0</v>
      </c>
      <c r="AL24" s="18" t="n">
        <f aca="false">IF(I24&gt;0,AJ24/I24,0)</f>
        <v>0</v>
      </c>
      <c r="AM24" s="33" t="n">
        <f aca="false">IF(C24=1,H24,MAX(0,H24-J24-K24))</f>
        <v>5.88432688082629</v>
      </c>
      <c r="AN24" s="33" t="n">
        <f aca="false">AN23+AM24</f>
        <v>9.99155056052455</v>
      </c>
      <c r="AO24" s="33" t="n">
        <f aca="false">MAX(0,Inputs!$B$23*MAX(0,AN24-P24)-AP23)</f>
        <v>0</v>
      </c>
      <c r="AP24" s="33" t="n">
        <f aca="false">AP23+AO24</f>
        <v>0</v>
      </c>
      <c r="AQ24" s="33" t="n">
        <f aca="false">AM24-AO24</f>
        <v>5.88432688082629</v>
      </c>
      <c r="AR24" s="33" t="n">
        <f aca="false">MAX(0,Inputs!$B$23*MAX(0,AN24+I24-P24)-AP24)</f>
        <v>4.98399702985345</v>
      </c>
      <c r="AS24" s="33" t="n">
        <f aca="false">I24-AR24</f>
        <v>96.1194375588892</v>
      </c>
      <c r="AT24" s="33" t="n">
        <f aca="false">AT23+AQ24</f>
        <v>9.99155056052455</v>
      </c>
      <c r="AU24" s="33" t="n">
        <f aca="false">-L24+AQ24</f>
        <v>1.09682688082629</v>
      </c>
      <c r="AV24" s="33" t="n">
        <f aca="false">IF(B24&lt;Inputs!$B$31,AU24,IF(B24=Inputs!$B$31,AU24+AS24,0))</f>
        <v>1.09682688082629</v>
      </c>
      <c r="AW24" s="34" t="n">
        <f aca="false">IF(P24&gt;0,(AT24+AS24)/P24,0)</f>
        <v>1.23134305911707</v>
      </c>
    </row>
    <row r="25" customFormat="false" ht="15" hidden="false" customHeight="false" outlineLevel="0" collapsed="false">
      <c r="A25" s="30" t="n">
        <f aca="false">A24+1</f>
        <v>19</v>
      </c>
      <c r="B25" s="31" t="n">
        <f aca="false">EOMONTH(Inputs!$B$17,3*(A25-1))</f>
        <v>46660</v>
      </c>
      <c r="C25" s="30" t="n">
        <f aca="false">IF(A25&lt;=Inputs!$B$18,1,0)</f>
        <v>1</v>
      </c>
      <c r="D25" s="33" t="n">
        <f aca="false">I24</f>
        <v>101.103434588743</v>
      </c>
      <c r="E25" s="33" t="n">
        <f aca="false">IF(C25=1,Inputs!$B$19*Inputs!$B$13/Inputs!$B$18,0)</f>
        <v>4.25</v>
      </c>
      <c r="F25" s="33" t="n">
        <f aca="false">D25*((1+Inputs!$B$24)^(1/4)-1)</f>
        <v>4.27127994445262</v>
      </c>
      <c r="G25" s="18" t="n">
        <f aca="false">IF(A25=MAX($A$7:$A$46),1,IF(A25&lt;Inputs!$B$25,0,MIN(1,Inputs!$B$26+Inputs!$B$27*(A25-Inputs!$B$25))))</f>
        <v>0.07</v>
      </c>
      <c r="H25" s="33" t="n">
        <f aca="false">G25*(D25+E25+F25)</f>
        <v>7.67373001732367</v>
      </c>
      <c r="I25" s="33" t="n">
        <f aca="false">D25+E25+F25-H25</f>
        <v>101.950984515872</v>
      </c>
      <c r="J25" s="33" t="n">
        <f aca="false">IF(C25=1,Inputs!$B$20*Inputs!$B$13/4,Inputs!$B$21*D25/4)</f>
        <v>0.5</v>
      </c>
      <c r="K25" s="33" t="n">
        <f aca="false">Inputs!$B$22*Inputs!$B$13/4</f>
        <v>0.0375</v>
      </c>
      <c r="L25" s="33" t="n">
        <f aca="false">IF(C25=1,MIN(E25+J25+K25,Inputs!$B$13-P24),0)</f>
        <v>4.7875</v>
      </c>
      <c r="M25" s="33" t="n">
        <f aca="false">MAX(0,IF(C25=1,H25,H25-J25-K25)-AH25-AI25+AK25)</f>
        <v>7.67373001732367</v>
      </c>
      <c r="N25" s="33" t="n">
        <f aca="false">MAX(0,Inputs!$B$23*MAX(0,Q25-P25)-R24)</f>
        <v>0</v>
      </c>
      <c r="O25" s="33" t="n">
        <f aca="false">M25-N25</f>
        <v>7.67373001732367</v>
      </c>
      <c r="P25" s="33" t="n">
        <f aca="false">P24+L25</f>
        <v>90.9625</v>
      </c>
      <c r="Q25" s="33" t="n">
        <f aca="false">Q24+M25</f>
        <v>17.6652805778482</v>
      </c>
      <c r="R25" s="33" t="n">
        <f aca="false">R24+N25</f>
        <v>0</v>
      </c>
      <c r="S25" s="33" t="n">
        <f aca="false">MAX(0,Inputs!$B$23*MAX(0,Q25+I25-AJ25-P25)-R25)</f>
        <v>5.73075301874397</v>
      </c>
      <c r="T25" s="33" t="n">
        <f aca="false">I25-AJ25-S25</f>
        <v>96.2202314971276</v>
      </c>
      <c r="U25" s="33" t="n">
        <f aca="false">U24+O25</f>
        <v>17.6652805778482</v>
      </c>
      <c r="V25" s="34" t="n">
        <f aca="false">IF(P25&gt;0,U25/P25,0)</f>
        <v>0.194203991511318</v>
      </c>
      <c r="W25" s="34" t="n">
        <f aca="false">IF(P25&gt;0,T25/P25,0)</f>
        <v>1.05780108832901</v>
      </c>
      <c r="X25" s="34" t="n">
        <f aca="false">V25+W25</f>
        <v>1.25200507984033</v>
      </c>
      <c r="Y25" s="33" t="n">
        <f aca="false">-L25+O25</f>
        <v>2.88623001732367</v>
      </c>
      <c r="Z25" s="33" t="n">
        <f aca="false">IF(B25&lt;Inputs!$B$31,Y25,IF(B25=Inputs!$B$31,Y25+T25,0))</f>
        <v>2.88623001732367</v>
      </c>
      <c r="AA25" s="33" t="n">
        <f aca="false">-E25+H25</f>
        <v>3.42373001732367</v>
      </c>
      <c r="AB25" s="33" t="n">
        <f aca="false">IF(B25&lt;Inputs!$B$31,AA25,IF(B25=Inputs!$B$31,AA25+I25,0))</f>
        <v>3.42373001732367</v>
      </c>
      <c r="AC25" s="33" t="n">
        <f aca="false">Inputs!$B$13-P25</f>
        <v>9.03750000000002</v>
      </c>
      <c r="AD25" s="33" t="n">
        <f aca="false">N25+S25-S24</f>
        <v>0.746755988890524</v>
      </c>
      <c r="AE25" s="33" t="n">
        <f aca="false">AJ24</f>
        <v>0</v>
      </c>
      <c r="AF25" s="33" t="n">
        <f aca="false">IF(AND(Inputs!$B$35=1,A25=Inputs!$B$36),MIN(Inputs!$B$37*I25,Inputs!$B$38),0)</f>
        <v>0</v>
      </c>
      <c r="AG25" s="33" t="n">
        <f aca="false">Inputs!$B$40*AF25</f>
        <v>0</v>
      </c>
      <c r="AH25" s="33" t="n">
        <f aca="false">Inputs!$B$39/4*AE25</f>
        <v>0</v>
      </c>
      <c r="AI25" s="33" t="n">
        <f aca="false">IF(A25=MAX($A$7:$A$46),AE25,MIN(AE25,Inputs!$B$41*MAX(0,IF(C25=1,H25,H25-J25-K25)-AH25)))</f>
        <v>0</v>
      </c>
      <c r="AJ25" s="33" t="n">
        <f aca="false">AE25+AF25-AI25</f>
        <v>0</v>
      </c>
      <c r="AK25" s="33" t="n">
        <f aca="false">AF25-AG25</f>
        <v>0</v>
      </c>
      <c r="AL25" s="18" t="n">
        <f aca="false">IF(I25&gt;0,AJ25/I25,0)</f>
        <v>0</v>
      </c>
      <c r="AM25" s="33" t="n">
        <f aca="false">IF(C25=1,H25,MAX(0,H25-J25-K25))</f>
        <v>7.67373001732367</v>
      </c>
      <c r="AN25" s="33" t="n">
        <f aca="false">AN24+AM25</f>
        <v>17.6652805778482</v>
      </c>
      <c r="AO25" s="33" t="n">
        <f aca="false">MAX(0,Inputs!$B$23*MAX(0,AN25-P25)-AP24)</f>
        <v>0</v>
      </c>
      <c r="AP25" s="33" t="n">
        <f aca="false">AP24+AO25</f>
        <v>0</v>
      </c>
      <c r="AQ25" s="33" t="n">
        <f aca="false">AM25-AO25</f>
        <v>7.67373001732367</v>
      </c>
      <c r="AR25" s="33" t="n">
        <f aca="false">MAX(0,Inputs!$B$23*MAX(0,AN25+I25-P25)-AP25)</f>
        <v>5.73075301874397</v>
      </c>
      <c r="AS25" s="33" t="n">
        <f aca="false">I25-AR25</f>
        <v>96.2202314971276</v>
      </c>
      <c r="AT25" s="33" t="n">
        <f aca="false">AT24+AQ25</f>
        <v>17.6652805778482</v>
      </c>
      <c r="AU25" s="33" t="n">
        <f aca="false">-L25+AQ25</f>
        <v>2.88623001732367</v>
      </c>
      <c r="AV25" s="33" t="n">
        <f aca="false">IF(B25&lt;Inputs!$B$31,AU25,IF(B25=Inputs!$B$31,AU25+AS25,0))</f>
        <v>2.88623001732367</v>
      </c>
      <c r="AW25" s="34" t="n">
        <f aca="false">IF(P25&gt;0,(AT25+AS25)/P25,0)</f>
        <v>1.25200507984033</v>
      </c>
    </row>
    <row r="26" customFormat="false" ht="15" hidden="false" customHeight="false" outlineLevel="0" collapsed="false">
      <c r="A26" s="30" t="n">
        <f aca="false">A25+1</f>
        <v>20</v>
      </c>
      <c r="B26" s="31" t="n">
        <f aca="false">EOMONTH(Inputs!$B$17,3*(A26-1))</f>
        <v>46752</v>
      </c>
      <c r="C26" s="30" t="n">
        <f aca="false">IF(A26&lt;=Inputs!$B$18,1,0)</f>
        <v>1</v>
      </c>
      <c r="D26" s="33" t="n">
        <f aca="false">I25</f>
        <v>101.950984515872</v>
      </c>
      <c r="E26" s="33" t="n">
        <f aca="false">IF(C26=1,Inputs!$B$19*Inputs!$B$13/Inputs!$B$18,0)</f>
        <v>4.25</v>
      </c>
      <c r="F26" s="33" t="n">
        <f aca="false">D26*((1+Inputs!$B$24)^(1/4)-1)</f>
        <v>4.30708607725507</v>
      </c>
      <c r="G26" s="18" t="n">
        <f aca="false">IF(A26=MAX($A$7:$A$46),1,IF(A26&lt;Inputs!$B$25,0,MIN(1,Inputs!$B$26+Inputs!$B$27*(A26-Inputs!$B$25))))</f>
        <v>0.085</v>
      </c>
      <c r="H26" s="33" t="n">
        <f aca="false">G26*(D26+E26+F26)</f>
        <v>9.39318600041577</v>
      </c>
      <c r="I26" s="33" t="n">
        <f aca="false">D26+E26+F26-H26</f>
        <v>101.114884592711</v>
      </c>
      <c r="J26" s="33" t="n">
        <f aca="false">IF(C26=1,Inputs!$B$20*Inputs!$B$13/4,Inputs!$B$21*D26/4)</f>
        <v>0.5</v>
      </c>
      <c r="K26" s="33" t="n">
        <f aca="false">Inputs!$B$22*Inputs!$B$13/4</f>
        <v>0.0375</v>
      </c>
      <c r="L26" s="33" t="n">
        <f aca="false">IF(C26=1,MIN(E26+J26+K26,Inputs!$B$13-P25),0)</f>
        <v>4.7875</v>
      </c>
      <c r="M26" s="33" t="n">
        <f aca="false">MAX(0,IF(C26=1,H26,H26-J26-K26)-AH26-AI26+AK26)</f>
        <v>9.39318600041577</v>
      </c>
      <c r="N26" s="33" t="n">
        <f aca="false">MAX(0,Inputs!$B$23*MAX(0,Q26-P26)-R25)</f>
        <v>0</v>
      </c>
      <c r="O26" s="33" t="n">
        <f aca="false">M26-N26</f>
        <v>9.39318600041577</v>
      </c>
      <c r="P26" s="33" t="n">
        <f aca="false">P25+L26</f>
        <v>95.75</v>
      </c>
      <c r="Q26" s="33" t="n">
        <f aca="false">Q25+M26</f>
        <v>27.058466578264</v>
      </c>
      <c r="R26" s="33" t="n">
        <f aca="false">R25+N26</f>
        <v>0</v>
      </c>
      <c r="S26" s="33" t="n">
        <f aca="false">MAX(0,Inputs!$B$23*MAX(0,Q26+I26-AJ26-P26)-R26)</f>
        <v>6.48467023419499</v>
      </c>
      <c r="T26" s="33" t="n">
        <f aca="false">I26-AJ26-S26</f>
        <v>94.6302143585159</v>
      </c>
      <c r="U26" s="33" t="n">
        <f aca="false">U25+O26</f>
        <v>27.058466578264</v>
      </c>
      <c r="V26" s="34" t="n">
        <f aca="false">IF(P26&gt;0,U26/P26,0)</f>
        <v>0.282594951209023</v>
      </c>
      <c r="W26" s="34" t="n">
        <f aca="false">IF(P26&gt;0,T26/P26,0)</f>
        <v>0.9883051107939</v>
      </c>
      <c r="X26" s="34" t="n">
        <f aca="false">V26+W26</f>
        <v>1.27090006200292</v>
      </c>
      <c r="Y26" s="33" t="n">
        <f aca="false">-L26+O26</f>
        <v>4.60568600041577</v>
      </c>
      <c r="Z26" s="33" t="n">
        <f aca="false">IF(B26&lt;Inputs!$B$31,Y26,IF(B26=Inputs!$B$31,Y26+T26,0))</f>
        <v>4.60568600041577</v>
      </c>
      <c r="AA26" s="33" t="n">
        <f aca="false">-E26+H26</f>
        <v>5.14318600041577</v>
      </c>
      <c r="AB26" s="33" t="n">
        <f aca="false">IF(B26&lt;Inputs!$B$31,AA26,IF(B26=Inputs!$B$31,AA26+I26,0))</f>
        <v>5.14318600041577</v>
      </c>
      <c r="AC26" s="33" t="n">
        <f aca="false">Inputs!$B$13-P26</f>
        <v>4.25000000000003</v>
      </c>
      <c r="AD26" s="33" t="n">
        <f aca="false">N26+S26-S25</f>
        <v>0.753917215451017</v>
      </c>
      <c r="AE26" s="33" t="n">
        <f aca="false">AJ25</f>
        <v>0</v>
      </c>
      <c r="AF26" s="33" t="n">
        <f aca="false">IF(AND(Inputs!$B$35=1,A26=Inputs!$B$36),MIN(Inputs!$B$37*I26,Inputs!$B$38),0)</f>
        <v>0</v>
      </c>
      <c r="AG26" s="33" t="n">
        <f aca="false">Inputs!$B$40*AF26</f>
        <v>0</v>
      </c>
      <c r="AH26" s="33" t="n">
        <f aca="false">Inputs!$B$39/4*AE26</f>
        <v>0</v>
      </c>
      <c r="AI26" s="33" t="n">
        <f aca="false">IF(A26=MAX($A$7:$A$46),AE26,MIN(AE26,Inputs!$B$41*MAX(0,IF(C26=1,H26,H26-J26-K26)-AH26)))</f>
        <v>0</v>
      </c>
      <c r="AJ26" s="33" t="n">
        <f aca="false">AE26+AF26-AI26</f>
        <v>0</v>
      </c>
      <c r="AK26" s="33" t="n">
        <f aca="false">AF26-AG26</f>
        <v>0</v>
      </c>
      <c r="AL26" s="18" t="n">
        <f aca="false">IF(I26&gt;0,AJ26/I26,0)</f>
        <v>0</v>
      </c>
      <c r="AM26" s="33" t="n">
        <f aca="false">IF(C26=1,H26,MAX(0,H26-J26-K26))</f>
        <v>9.39318600041577</v>
      </c>
      <c r="AN26" s="33" t="n">
        <f aca="false">AN25+AM26</f>
        <v>27.058466578264</v>
      </c>
      <c r="AO26" s="33" t="n">
        <f aca="false">MAX(0,Inputs!$B$23*MAX(0,AN26-P26)-AP25)</f>
        <v>0</v>
      </c>
      <c r="AP26" s="33" t="n">
        <f aca="false">AP25+AO26</f>
        <v>0</v>
      </c>
      <c r="AQ26" s="33" t="n">
        <f aca="false">AM26-AO26</f>
        <v>9.39318600041577</v>
      </c>
      <c r="AR26" s="33" t="n">
        <f aca="false">MAX(0,Inputs!$B$23*MAX(0,AN26+I26-P26)-AP26)</f>
        <v>6.48467023419499</v>
      </c>
      <c r="AS26" s="33" t="n">
        <f aca="false">I26-AR26</f>
        <v>94.6302143585159</v>
      </c>
      <c r="AT26" s="33" t="n">
        <f aca="false">AT25+AQ26</f>
        <v>27.058466578264</v>
      </c>
      <c r="AU26" s="33" t="n">
        <f aca="false">-L26+AQ26</f>
        <v>4.60568600041577</v>
      </c>
      <c r="AV26" s="33" t="n">
        <f aca="false">IF(B26&lt;Inputs!$B$31,AU26,IF(B26=Inputs!$B$31,AU26+AS26,0))</f>
        <v>4.60568600041577</v>
      </c>
      <c r="AW26" s="34" t="n">
        <f aca="false">IF(P26&gt;0,(AT26+AS26)/P26,0)</f>
        <v>1.27090006200292</v>
      </c>
    </row>
    <row r="27" customFormat="false" ht="15" hidden="false" customHeight="false" outlineLevel="0" collapsed="false">
      <c r="A27" s="30" t="n">
        <f aca="false">A26+1</f>
        <v>21</v>
      </c>
      <c r="B27" s="31" t="n">
        <f aca="false">EOMONTH(Inputs!$B$17,3*(A27-1))</f>
        <v>46843</v>
      </c>
      <c r="C27" s="30" t="n">
        <f aca="false">IF(A27&lt;=Inputs!$B$18,1,0)</f>
        <v>0</v>
      </c>
      <c r="D27" s="33" t="n">
        <f aca="false">I26</f>
        <v>101.114884592711</v>
      </c>
      <c r="E27" s="33" t="n">
        <f aca="false">IF(C27=1,Inputs!$B$19*Inputs!$B$13/Inputs!$B$18,0)</f>
        <v>0</v>
      </c>
      <c r="F27" s="33" t="n">
        <f aca="false">D27*((1+Inputs!$B$24)^(1/4)-1)</f>
        <v>4.27176366859624</v>
      </c>
      <c r="G27" s="18" t="n">
        <f aca="false">IF(A27=MAX($A$7:$A$46),1,IF(A27&lt;Inputs!$B$25,0,MIN(1,Inputs!$B$26+Inputs!$B$27*(A27-Inputs!$B$25))))</f>
        <v>0.1</v>
      </c>
      <c r="H27" s="33" t="n">
        <f aca="false">G27*(D27+E27+F27)</f>
        <v>10.5386648261307</v>
      </c>
      <c r="I27" s="33" t="n">
        <f aca="false">D27+E27+F27-H27</f>
        <v>94.8479834351764</v>
      </c>
      <c r="J27" s="33" t="n">
        <f aca="false">IF(C27=1,Inputs!$B$20*Inputs!$B$13/4,Inputs!$B$21*D27/4)</f>
        <v>0.379180817222666</v>
      </c>
      <c r="K27" s="33" t="n">
        <f aca="false">Inputs!$B$22*Inputs!$B$13/4</f>
        <v>0.0375</v>
      </c>
      <c r="L27" s="33" t="n">
        <f aca="false">IF(C27=1,MIN(E27+J27+K27,Inputs!$B$13-P26),0)</f>
        <v>0</v>
      </c>
      <c r="M27" s="33" t="n">
        <f aca="false">MAX(0,IF(C27=1,H27,H27-J27-K27)-AH27-AI27+AK27)</f>
        <v>24.2069095490318</v>
      </c>
      <c r="N27" s="33" t="n">
        <f aca="false">MAX(0,Inputs!$B$23*MAX(0,Q27-P27)-R26)</f>
        <v>0</v>
      </c>
      <c r="O27" s="33" t="n">
        <f aca="false">M27-N27</f>
        <v>24.2069095490318</v>
      </c>
      <c r="P27" s="33" t="n">
        <f aca="false">P26+L27</f>
        <v>95.75</v>
      </c>
      <c r="Q27" s="33" t="n">
        <f aca="false">Q26+M27</f>
        <v>51.2653761272957</v>
      </c>
      <c r="R27" s="33" t="n">
        <f aca="false">R26+N27</f>
        <v>0</v>
      </c>
      <c r="S27" s="33" t="n">
        <f aca="false">MAX(0,Inputs!$B$23*MAX(0,Q27+I27-AJ27-P27)-R27)</f>
        <v>7.22723240943915</v>
      </c>
      <c r="T27" s="33" t="n">
        <f aca="false">I27-AJ27-S27</f>
        <v>73.3935535104608</v>
      </c>
      <c r="U27" s="33" t="n">
        <f aca="false">U26+O27</f>
        <v>51.2653761272957</v>
      </c>
      <c r="V27" s="34" t="n">
        <f aca="false">IF(P27&gt;0,U27/P27,0)</f>
        <v>0.535408627961313</v>
      </c>
      <c r="W27" s="34" t="n">
        <f aca="false">IF(P27&gt;0,T27/P27,0)</f>
        <v>0.766512308203246</v>
      </c>
      <c r="X27" s="34" t="n">
        <f aca="false">V27+W27</f>
        <v>1.30192093616456</v>
      </c>
      <c r="Y27" s="33" t="n">
        <f aca="false">-L27+O27</f>
        <v>24.2069095490318</v>
      </c>
      <c r="Z27" s="33" t="n">
        <f aca="false">IF(B27&lt;Inputs!$B$31,Y27,IF(B27=Inputs!$B$31,Y27+T27,0))</f>
        <v>24.2069095490318</v>
      </c>
      <c r="AA27" s="33" t="n">
        <f aca="false">-E27+H27</f>
        <v>10.5386648261307</v>
      </c>
      <c r="AB27" s="33" t="n">
        <f aca="false">IF(B27&lt;Inputs!$B$31,AA27,IF(B27=Inputs!$B$31,AA27+I27,0))</f>
        <v>10.5386648261307</v>
      </c>
      <c r="AC27" s="33" t="n">
        <f aca="false">Inputs!$B$13-P27</f>
        <v>4.25000000000003</v>
      </c>
      <c r="AD27" s="33" t="n">
        <f aca="false">N27+S27-S26</f>
        <v>0.74256217524416</v>
      </c>
      <c r="AE27" s="33" t="n">
        <f aca="false">AJ26</f>
        <v>0</v>
      </c>
      <c r="AF27" s="33" t="n">
        <f aca="false">IF(AND(Inputs!$B$35=1,A27=Inputs!$B$36),MIN(Inputs!$B$37*I27,Inputs!$B$38),0)</f>
        <v>14.2271975152765</v>
      </c>
      <c r="AG27" s="33" t="n">
        <f aca="false">Inputs!$B$40*AF27</f>
        <v>0.142271975152765</v>
      </c>
      <c r="AH27" s="33" t="n">
        <f aca="false">Inputs!$B$39/4*AE27</f>
        <v>0</v>
      </c>
      <c r="AI27" s="33" t="n">
        <f aca="false">IF(A27=MAX($A$7:$A$46),AE27,MIN(AE27,Inputs!$B$41*MAX(0,IF(C27=1,H27,H27-J27-K27)-AH27)))</f>
        <v>0</v>
      </c>
      <c r="AJ27" s="33" t="n">
        <f aca="false">AE27+AF27-AI27</f>
        <v>14.2271975152765</v>
      </c>
      <c r="AK27" s="33" t="n">
        <f aca="false">AF27-AG27</f>
        <v>14.0849255401237</v>
      </c>
      <c r="AL27" s="18" t="n">
        <f aca="false">IF(I27&gt;0,AJ27/I27,0)</f>
        <v>0.15</v>
      </c>
      <c r="AM27" s="33" t="n">
        <f aca="false">IF(C27=1,H27,MAX(0,H27-J27-K27))</f>
        <v>10.121984008908</v>
      </c>
      <c r="AN27" s="33" t="n">
        <f aca="false">AN26+AM27</f>
        <v>37.180450587172</v>
      </c>
      <c r="AO27" s="33" t="n">
        <f aca="false">MAX(0,Inputs!$B$23*MAX(0,AN27-P27)-AP26)</f>
        <v>0</v>
      </c>
      <c r="AP27" s="33" t="n">
        <f aca="false">AP26+AO27</f>
        <v>0</v>
      </c>
      <c r="AQ27" s="33" t="n">
        <f aca="false">AM27-AO27</f>
        <v>10.121984008908</v>
      </c>
      <c r="AR27" s="33" t="n">
        <f aca="false">MAX(0,Inputs!$B$23*MAX(0,AN27+I27-P27)-AP27)</f>
        <v>7.2556868044697</v>
      </c>
      <c r="AS27" s="33" t="n">
        <f aca="false">I27-AR27</f>
        <v>87.5922966307067</v>
      </c>
      <c r="AT27" s="33" t="n">
        <f aca="false">AT26+AQ27</f>
        <v>37.180450587172</v>
      </c>
      <c r="AU27" s="33" t="n">
        <f aca="false">-L27+AQ27</f>
        <v>10.121984008908</v>
      </c>
      <c r="AV27" s="33" t="n">
        <f aca="false">IF(B27&lt;Inputs!$B$31,AU27,IF(B27=Inputs!$B$31,AU27+AS27,0))</f>
        <v>10.121984008908</v>
      </c>
      <c r="AW27" s="34" t="n">
        <f aca="false">IF(P27&gt;0,(AT27+AS27)/P27,0)</f>
        <v>1.30310963151832</v>
      </c>
    </row>
    <row r="28" customFormat="false" ht="15" hidden="false" customHeight="false" outlineLevel="0" collapsed="false">
      <c r="A28" s="30" t="n">
        <f aca="false">A27+1</f>
        <v>22</v>
      </c>
      <c r="B28" s="31" t="n">
        <f aca="false">EOMONTH(Inputs!$B$17,3*(A28-1))</f>
        <v>46934</v>
      </c>
      <c r="C28" s="30" t="n">
        <f aca="false">IF(A28&lt;=Inputs!$B$18,1,0)</f>
        <v>0</v>
      </c>
      <c r="D28" s="33" t="n">
        <f aca="false">I27</f>
        <v>94.8479834351764</v>
      </c>
      <c r="E28" s="33" t="n">
        <f aca="false">IF(C28=1,Inputs!$B$19*Inputs!$B$13/Inputs!$B$18,0)</f>
        <v>0</v>
      </c>
      <c r="F28" s="33" t="n">
        <f aca="false">D28*((1+Inputs!$B$24)^(1/4)-1)</f>
        <v>4.00700817995308</v>
      </c>
      <c r="G28" s="18" t="n">
        <f aca="false">IF(A28=MAX($A$7:$A$46),1,IF(A28&lt;Inputs!$B$25,0,MIN(1,Inputs!$B$26+Inputs!$B$27*(A28-Inputs!$B$25))))</f>
        <v>0.115</v>
      </c>
      <c r="H28" s="33" t="n">
        <f aca="false">G28*(D28+E28+F28)</f>
        <v>11.3683240357399</v>
      </c>
      <c r="I28" s="33" t="n">
        <f aca="false">D28+E28+F28-H28</f>
        <v>87.4866675793896</v>
      </c>
      <c r="J28" s="33" t="n">
        <f aca="false">IF(C28=1,Inputs!$B$20*Inputs!$B$13/4,Inputs!$B$21*D28/4)</f>
        <v>0.355679937881912</v>
      </c>
      <c r="K28" s="33" t="n">
        <f aca="false">Inputs!$B$22*Inputs!$B$13/4</f>
        <v>0.0375</v>
      </c>
      <c r="L28" s="33" t="n">
        <f aca="false">IF(C28=1,MIN(E28+J28+K28,Inputs!$B$13-P27),0)</f>
        <v>0</v>
      </c>
      <c r="M28" s="33" t="n">
        <f aca="false">MAX(0,IF(C28=1,H28,H28-J28-K28)-AH28-AI28+AK28)</f>
        <v>7.9912741153232</v>
      </c>
      <c r="N28" s="33" t="n">
        <f aca="false">MAX(0,Inputs!$B$23*MAX(0,Q28-P28)-R27)</f>
        <v>0</v>
      </c>
      <c r="O28" s="33" t="n">
        <f aca="false">M28-N28</f>
        <v>7.9912741153232</v>
      </c>
      <c r="P28" s="33" t="n">
        <f aca="false">P27+L28</f>
        <v>95.75</v>
      </c>
      <c r="Q28" s="33" t="n">
        <f aca="false">Q27+M28</f>
        <v>59.2566502426189</v>
      </c>
      <c r="R28" s="33" t="n">
        <f aca="false">R27+N28</f>
        <v>0</v>
      </c>
      <c r="S28" s="33" t="n">
        <f aca="false">MAX(0,Inputs!$B$23*MAX(0,Q28+I28-AJ28-P28)-R28)</f>
        <v>7.88597566903464</v>
      </c>
      <c r="T28" s="33" t="n">
        <f aca="false">I28-AJ28-S28</f>
        <v>68.0372524335196</v>
      </c>
      <c r="U28" s="33" t="n">
        <f aca="false">U27+O28</f>
        <v>59.2566502426189</v>
      </c>
      <c r="V28" s="34" t="n">
        <f aca="false">IF(P28&gt;0,U28/P28,0)</f>
        <v>0.618868409844584</v>
      </c>
      <c r="W28" s="34" t="n">
        <f aca="false">IF(P28&gt;0,T28/P28,0)</f>
        <v>0.710571826981928</v>
      </c>
      <c r="X28" s="34" t="n">
        <f aca="false">V28+W28</f>
        <v>1.32944023682651</v>
      </c>
      <c r="Y28" s="33" t="n">
        <f aca="false">-L28+O28</f>
        <v>7.9912741153232</v>
      </c>
      <c r="Z28" s="33" t="n">
        <f aca="false">IF(B28&lt;Inputs!$B$31,Y28,IF(B28=Inputs!$B$31,Y28+T28,0))</f>
        <v>7.9912741153232</v>
      </c>
      <c r="AA28" s="33" t="n">
        <f aca="false">-E28+H28</f>
        <v>11.3683240357399</v>
      </c>
      <c r="AB28" s="33" t="n">
        <f aca="false">IF(B28&lt;Inputs!$B$31,AA28,IF(B28=Inputs!$B$31,AA28+I28,0))</f>
        <v>11.3683240357399</v>
      </c>
      <c r="AC28" s="33" t="n">
        <f aca="false">Inputs!$B$13-P28</f>
        <v>4.25000000000003</v>
      </c>
      <c r="AD28" s="33" t="n">
        <f aca="false">N28+S28-S27</f>
        <v>0.658743259595491</v>
      </c>
      <c r="AE28" s="33" t="n">
        <f aca="false">AJ27</f>
        <v>14.2271975152765</v>
      </c>
      <c r="AF28" s="33" t="n">
        <f aca="false">IF(AND(Inputs!$B$35=1,A28=Inputs!$B$36),MIN(Inputs!$B$37*I28,Inputs!$B$38),0)</f>
        <v>0</v>
      </c>
      <c r="AG28" s="33" t="n">
        <f aca="false">Inputs!$B$40*AF28</f>
        <v>0</v>
      </c>
      <c r="AH28" s="33" t="n">
        <f aca="false">Inputs!$B$39/4*AE28</f>
        <v>0.32011194409372</v>
      </c>
      <c r="AI28" s="33" t="n">
        <f aca="false">IF(A28=MAX($A$7:$A$46),AE28,MIN(AE28,Inputs!$B$41*MAX(0,IF(C28=1,H28,H28-J28-K28)-AH28)))</f>
        <v>2.66375803844107</v>
      </c>
      <c r="AJ28" s="33" t="n">
        <f aca="false">AE28+AF28-AI28</f>
        <v>11.5634394768354</v>
      </c>
      <c r="AK28" s="33" t="n">
        <f aca="false">AF28-AG28</f>
        <v>0</v>
      </c>
      <c r="AL28" s="18" t="n">
        <f aca="false">IF(I28&gt;0,AJ28/I28,0)</f>
        <v>0.132173733401631</v>
      </c>
      <c r="AM28" s="33" t="n">
        <f aca="false">IF(C28=1,H28,MAX(0,H28-J28-K28))</f>
        <v>10.975144097858</v>
      </c>
      <c r="AN28" s="33" t="n">
        <f aca="false">AN27+AM28</f>
        <v>48.15559468503</v>
      </c>
      <c r="AO28" s="33" t="n">
        <f aca="false">MAX(0,Inputs!$B$23*MAX(0,AN28-P28)-AP27)</f>
        <v>0</v>
      </c>
      <c r="AP28" s="33" t="n">
        <f aca="false">AP27+AO28</f>
        <v>0</v>
      </c>
      <c r="AQ28" s="33" t="n">
        <f aca="false">AM28-AO28</f>
        <v>10.975144097858</v>
      </c>
      <c r="AR28" s="33" t="n">
        <f aca="false">MAX(0,Inputs!$B$23*MAX(0,AN28+I28-P28)-AP28)</f>
        <v>7.97845245288394</v>
      </c>
      <c r="AS28" s="33" t="n">
        <f aca="false">I28-AR28</f>
        <v>79.5082151265057</v>
      </c>
      <c r="AT28" s="33" t="n">
        <f aca="false">AT27+AQ28</f>
        <v>48.15559468503</v>
      </c>
      <c r="AU28" s="33" t="n">
        <f aca="false">-L28+AQ28</f>
        <v>10.975144097858</v>
      </c>
      <c r="AV28" s="33" t="n">
        <f aca="false">IF(B28&lt;Inputs!$B$31,AU28,IF(B28=Inputs!$B$31,AU28+AS28,0))</f>
        <v>10.975144097858</v>
      </c>
      <c r="AW28" s="34" t="n">
        <f aca="false">IF(P28&gt;0,(AT28+AS28)/P28,0)</f>
        <v>1.33330349672622</v>
      </c>
    </row>
    <row r="29" customFormat="false" ht="15" hidden="false" customHeight="false" outlineLevel="0" collapsed="false">
      <c r="A29" s="30" t="n">
        <f aca="false">A28+1</f>
        <v>23</v>
      </c>
      <c r="B29" s="31" t="n">
        <f aca="false">EOMONTH(Inputs!$B$17,3*(A29-1))</f>
        <v>47026</v>
      </c>
      <c r="C29" s="30" t="n">
        <f aca="false">IF(A29&lt;=Inputs!$B$18,1,0)</f>
        <v>0</v>
      </c>
      <c r="D29" s="33" t="n">
        <f aca="false">I28</f>
        <v>87.4866675793896</v>
      </c>
      <c r="E29" s="33" t="n">
        <f aca="false">IF(C29=1,Inputs!$B$19*Inputs!$B$13/Inputs!$B$18,0)</f>
        <v>0</v>
      </c>
      <c r="F29" s="33" t="n">
        <f aca="false">D29*((1+Inputs!$B$24)^(1/4)-1)</f>
        <v>3.69601735251482</v>
      </c>
      <c r="G29" s="18" t="n">
        <f aca="false">IF(A29=MAX($A$7:$A$46),1,IF(A29&lt;Inputs!$B$25,0,MIN(1,Inputs!$B$26+Inputs!$B$27*(A29-Inputs!$B$25))))</f>
        <v>0.13</v>
      </c>
      <c r="H29" s="33" t="n">
        <f aca="false">G29*(D29+E29+F29)</f>
        <v>11.8537490411476</v>
      </c>
      <c r="I29" s="33" t="n">
        <f aca="false">D29+E29+F29-H29</f>
        <v>79.3289358907569</v>
      </c>
      <c r="J29" s="33" t="n">
        <f aca="false">IF(C29=1,Inputs!$B$20*Inputs!$B$13/4,Inputs!$B$21*D29/4)</f>
        <v>0.328075003422711</v>
      </c>
      <c r="K29" s="33" t="n">
        <f aca="false">Inputs!$B$22*Inputs!$B$13/4</f>
        <v>0.0375</v>
      </c>
      <c r="L29" s="33" t="n">
        <f aca="false">IF(C29=1,MIN(E29+J29+K29,Inputs!$B$13-P28),0)</f>
        <v>0</v>
      </c>
      <c r="M29" s="33" t="n">
        <f aca="false">MAX(0,IF(C29=1,H29,H29-J29-K29)-AH29-AI29+AK29)</f>
        <v>8.42099748712205</v>
      </c>
      <c r="N29" s="33" t="n">
        <f aca="false">MAX(0,Inputs!$B$23*MAX(0,Q29-P29)-R28)</f>
        <v>0</v>
      </c>
      <c r="O29" s="33" t="n">
        <f aca="false">M29-N29</f>
        <v>8.42099748712205</v>
      </c>
      <c r="P29" s="33" t="n">
        <f aca="false">P28+L29</f>
        <v>95.75</v>
      </c>
      <c r="Q29" s="33" t="n">
        <f aca="false">Q28+M29</f>
        <v>67.677647729741</v>
      </c>
      <c r="R29" s="33" t="n">
        <f aca="false">R28+N29</f>
        <v>0</v>
      </c>
      <c r="S29" s="33" t="n">
        <f aca="false">MAX(0,Inputs!$B$23*MAX(0,Q29+I29-AJ29-P29)-R29)</f>
        <v>8.5000286612073</v>
      </c>
      <c r="T29" s="33" t="n">
        <f aca="false">I29-AJ29-S29</f>
        <v>62.0724669150882</v>
      </c>
      <c r="U29" s="33" t="n">
        <f aca="false">U28+O29</f>
        <v>67.677647729741</v>
      </c>
      <c r="V29" s="34" t="n">
        <f aca="false">IF(P29&gt;0,U29/P29,0)</f>
        <v>0.706816164279279</v>
      </c>
      <c r="W29" s="34" t="n">
        <f aca="false">IF(P29&gt;0,T29/P29,0)</f>
        <v>0.648276416867762</v>
      </c>
      <c r="X29" s="34" t="n">
        <f aca="false">V29+W29</f>
        <v>1.35509258114704</v>
      </c>
      <c r="Y29" s="33" t="n">
        <f aca="false">-L29+O29</f>
        <v>8.42099748712205</v>
      </c>
      <c r="Z29" s="33" t="n">
        <f aca="false">IF(B29&lt;Inputs!$B$31,Y29,IF(B29=Inputs!$B$31,Y29+T29,0))</f>
        <v>8.42099748712205</v>
      </c>
      <c r="AA29" s="33" t="n">
        <f aca="false">-E29+H29</f>
        <v>11.8537490411476</v>
      </c>
      <c r="AB29" s="33" t="n">
        <f aca="false">IF(B29&lt;Inputs!$B$31,AA29,IF(B29=Inputs!$B$31,AA29+I29,0))</f>
        <v>11.8537490411476</v>
      </c>
      <c r="AC29" s="33" t="n">
        <f aca="false">Inputs!$B$13-P29</f>
        <v>4.25000000000003</v>
      </c>
      <c r="AD29" s="33" t="n">
        <f aca="false">N29+S29-S28</f>
        <v>0.614052992172661</v>
      </c>
      <c r="AE29" s="33" t="n">
        <f aca="false">AJ28</f>
        <v>11.5634394768354</v>
      </c>
      <c r="AF29" s="33" t="n">
        <f aca="false">IF(AND(Inputs!$B$35=1,A29=Inputs!$B$36),MIN(Inputs!$B$37*I29,Inputs!$B$38),0)</f>
        <v>0</v>
      </c>
      <c r="AG29" s="33" t="n">
        <f aca="false">Inputs!$B$40*AF29</f>
        <v>0</v>
      </c>
      <c r="AH29" s="33" t="n">
        <f aca="false">Inputs!$B$39/4*AE29</f>
        <v>0.260177388228796</v>
      </c>
      <c r="AI29" s="33" t="n">
        <f aca="false">IF(A29=MAX($A$7:$A$46),AE29,MIN(AE29,Inputs!$B$41*MAX(0,IF(C29=1,H29,H29-J29-K29)-AH29)))</f>
        <v>2.80699916237402</v>
      </c>
      <c r="AJ29" s="33" t="n">
        <f aca="false">AE29+AF29-AI29</f>
        <v>8.75644031446138</v>
      </c>
      <c r="AK29" s="33" t="n">
        <f aca="false">AF29-AG29</f>
        <v>0</v>
      </c>
      <c r="AL29" s="18" t="n">
        <f aca="false">IF(I29&gt;0,AJ29/I29,0)</f>
        <v>0.110381416517673</v>
      </c>
      <c r="AM29" s="33" t="n">
        <f aca="false">IF(C29=1,H29,MAX(0,H29-J29-K29))</f>
        <v>11.4881740377249</v>
      </c>
      <c r="AN29" s="33" t="n">
        <f aca="false">AN28+AM29</f>
        <v>59.6437687227549</v>
      </c>
      <c r="AO29" s="33" t="n">
        <f aca="false">MAX(0,Inputs!$B$23*MAX(0,AN29-P29)-AP28)</f>
        <v>0</v>
      </c>
      <c r="AP29" s="33" t="n">
        <f aca="false">AP28+AO29</f>
        <v>0</v>
      </c>
      <c r="AQ29" s="33" t="n">
        <f aca="false">AM29-AO29</f>
        <v>11.4881740377249</v>
      </c>
      <c r="AR29" s="33" t="n">
        <f aca="false">MAX(0,Inputs!$B$23*MAX(0,AN29+I29-P29)-AP29)</f>
        <v>8.64454092270236</v>
      </c>
      <c r="AS29" s="33" t="n">
        <f aca="false">I29-AR29</f>
        <v>70.6843949680545</v>
      </c>
      <c r="AT29" s="33" t="n">
        <f aca="false">AT28+AQ29</f>
        <v>59.6437687227549</v>
      </c>
      <c r="AU29" s="33" t="n">
        <f aca="false">-L29+AQ29</f>
        <v>11.4881740377249</v>
      </c>
      <c r="AV29" s="33" t="n">
        <f aca="false">IF(B29&lt;Inputs!$B$31,AU29,IF(B29=Inputs!$B$31,AU29+AS29,0))</f>
        <v>11.4881740377249</v>
      </c>
      <c r="AW29" s="34" t="n">
        <f aca="false">IF(P29&gt;0,(AT29+AS29)/P29,0)</f>
        <v>1.3611296469014</v>
      </c>
    </row>
    <row r="30" customFormat="false" ht="15" hidden="false" customHeight="false" outlineLevel="0" collapsed="false">
      <c r="A30" s="30" t="n">
        <f aca="false">A29+1</f>
        <v>24</v>
      </c>
      <c r="B30" s="31" t="n">
        <f aca="false">EOMONTH(Inputs!$B$17,3*(A30-1))</f>
        <v>47118</v>
      </c>
      <c r="C30" s="30" t="n">
        <f aca="false">IF(A30&lt;=Inputs!$B$18,1,0)</f>
        <v>0</v>
      </c>
      <c r="D30" s="33" t="n">
        <f aca="false">I29</f>
        <v>79.3289358907569</v>
      </c>
      <c r="E30" s="33" t="n">
        <f aca="false">IF(C30=1,Inputs!$B$19*Inputs!$B$13/Inputs!$B$18,0)</f>
        <v>0</v>
      </c>
      <c r="F30" s="33" t="n">
        <f aca="false">D30*((1+Inputs!$B$24)^(1/4)-1)</f>
        <v>3.35138063571467</v>
      </c>
      <c r="G30" s="18" t="n">
        <f aca="false">IF(A30=MAX($A$7:$A$46),1,IF(A30&lt;Inputs!$B$25,0,MIN(1,Inputs!$B$26+Inputs!$B$27*(A30-Inputs!$B$25))))</f>
        <v>0.145</v>
      </c>
      <c r="H30" s="33" t="n">
        <f aca="false">G30*(D30+E30+F30)</f>
        <v>11.9886458963384</v>
      </c>
      <c r="I30" s="33" t="n">
        <f aca="false">D30+E30+F30-H30</f>
        <v>70.6916706301332</v>
      </c>
      <c r="J30" s="33" t="n">
        <f aca="false">IF(C30=1,Inputs!$B$20*Inputs!$B$13/4,Inputs!$B$21*D30/4)</f>
        <v>0.297483509590338</v>
      </c>
      <c r="K30" s="33" t="n">
        <f aca="false">Inputs!$B$22*Inputs!$B$13/4</f>
        <v>0.0375</v>
      </c>
      <c r="L30" s="33" t="n">
        <f aca="false">IF(C30=1,MIN(E30+J30+K30,Inputs!$B$13-P29),0)</f>
        <v>0</v>
      </c>
      <c r="M30" s="33" t="n">
        <f aca="false">MAX(0,IF(C30=1,H30,H30-J30-K30)-AH30-AI30+AK30)</f>
        <v>8.59248185975449</v>
      </c>
      <c r="N30" s="33" t="n">
        <f aca="false">MAX(0,Inputs!$B$23*MAX(0,Q30-P30)-R29)</f>
        <v>0</v>
      </c>
      <c r="O30" s="33" t="n">
        <f aca="false">M30-N30</f>
        <v>8.59248185975449</v>
      </c>
      <c r="P30" s="33" t="n">
        <f aca="false">P29+L30</f>
        <v>95.75</v>
      </c>
      <c r="Q30" s="33" t="n">
        <f aca="false">Q29+M30</f>
        <v>76.2701295894955</v>
      </c>
      <c r="R30" s="33" t="n">
        <f aca="false">R29+N30</f>
        <v>0</v>
      </c>
      <c r="S30" s="33" t="n">
        <f aca="false">MAX(0,Inputs!$B$23*MAX(0,Q30+I30-AJ30-P30)-R30)</f>
        <v>9.06390410501709</v>
      </c>
      <c r="T30" s="33" t="n">
        <f aca="false">I30-AJ30-S30</f>
        <v>55.7354868305729</v>
      </c>
      <c r="U30" s="33" t="n">
        <f aca="false">U29+O30</f>
        <v>76.2701295894955</v>
      </c>
      <c r="V30" s="34" t="n">
        <f aca="false">IF(P30&gt;0,U30/P30,0)</f>
        <v>0.796554878219274</v>
      </c>
      <c r="W30" s="34" t="n">
        <f aca="false">IF(P30&gt;0,T30/P30,0)</f>
        <v>0.582093857238359</v>
      </c>
      <c r="X30" s="34" t="n">
        <f aca="false">V30+W30</f>
        <v>1.37864873545763</v>
      </c>
      <c r="Y30" s="33" t="n">
        <f aca="false">-L30+O30</f>
        <v>8.59248185975449</v>
      </c>
      <c r="Z30" s="33" t="n">
        <f aca="false">IF(B30&lt;Inputs!$B$31,Y30,IF(B30=Inputs!$B$31,Y30+T30,0))</f>
        <v>64.3279686903274</v>
      </c>
      <c r="AA30" s="33" t="n">
        <f aca="false">-E30+H30</f>
        <v>11.9886458963384</v>
      </c>
      <c r="AB30" s="33" t="n">
        <f aca="false">IF(B30&lt;Inputs!$B$31,AA30,IF(B30=Inputs!$B$31,AA30+I30,0))</f>
        <v>82.6803165264715</v>
      </c>
      <c r="AC30" s="33" t="n">
        <f aca="false">Inputs!$B$13-P30</f>
        <v>4.25000000000003</v>
      </c>
      <c r="AD30" s="33" t="n">
        <f aca="false">N30+S30-S29</f>
        <v>0.563875443809787</v>
      </c>
      <c r="AE30" s="33" t="n">
        <f aca="false">AJ29</f>
        <v>8.75644031446138</v>
      </c>
      <c r="AF30" s="33" t="n">
        <f aca="false">IF(AND(Inputs!$B$35=1,A30=Inputs!$B$36),MIN(Inputs!$B$37*I30,Inputs!$B$38),0)</f>
        <v>0</v>
      </c>
      <c r="AG30" s="33" t="n">
        <f aca="false">Inputs!$B$40*AF30</f>
        <v>0</v>
      </c>
      <c r="AH30" s="33" t="n">
        <f aca="false">Inputs!$B$39/4*AE30</f>
        <v>0.197019907075381</v>
      </c>
      <c r="AI30" s="33" t="n">
        <f aca="false">IF(A30=MAX($A$7:$A$46),AE30,MIN(AE30,Inputs!$B$41*MAX(0,IF(C30=1,H30,H30-J30-K30)-AH30)))</f>
        <v>2.86416061991816</v>
      </c>
      <c r="AJ30" s="33" t="n">
        <f aca="false">AE30+AF30-AI30</f>
        <v>5.89227969454322</v>
      </c>
      <c r="AK30" s="33" t="n">
        <f aca="false">AF30-AG30</f>
        <v>0</v>
      </c>
      <c r="AL30" s="18" t="n">
        <f aca="false">IF(I30&gt;0,AJ30/I30,0)</f>
        <v>0.0833518240836646</v>
      </c>
      <c r="AM30" s="33" t="n">
        <f aca="false">IF(C30=1,H30,MAX(0,H30-J30-K30))</f>
        <v>11.653662386748</v>
      </c>
      <c r="AN30" s="33" t="n">
        <f aca="false">AN29+AM30</f>
        <v>71.2974311095029</v>
      </c>
      <c r="AO30" s="33" t="n">
        <f aca="false">MAX(0,Inputs!$B$23*MAX(0,AN30-P30)-AP29)</f>
        <v>0</v>
      </c>
      <c r="AP30" s="33" t="n">
        <f aca="false">AP29+AO30</f>
        <v>0</v>
      </c>
      <c r="AQ30" s="33" t="n">
        <f aca="false">AM30-AO30</f>
        <v>11.653662386748</v>
      </c>
      <c r="AR30" s="33" t="n">
        <f aca="false">MAX(0,Inputs!$B$23*MAX(0,AN30+I30-P30)-AP30)</f>
        <v>9.24782034792723</v>
      </c>
      <c r="AS30" s="33" t="n">
        <f aca="false">I30-AR30</f>
        <v>61.4438502822059</v>
      </c>
      <c r="AT30" s="33" t="n">
        <f aca="false">AT29+AQ30</f>
        <v>71.2974311095029</v>
      </c>
      <c r="AU30" s="33" t="n">
        <f aca="false">-L30+AQ30</f>
        <v>11.653662386748</v>
      </c>
      <c r="AV30" s="33" t="n">
        <f aca="false">IF(B30&lt;Inputs!$B$31,AU30,IF(B30=Inputs!$B$31,AU30+AS30,0))</f>
        <v>73.097512668954</v>
      </c>
      <c r="AW30" s="34" t="n">
        <f aca="false">IF(P30&gt;0,(AT30+AS30)/P30,0)</f>
        <v>1.38633192054004</v>
      </c>
    </row>
    <row r="31" customFormat="false" ht="15" hidden="false" customHeight="false" outlineLevel="0" collapsed="false">
      <c r="A31" s="30" t="n">
        <f aca="false">A30+1</f>
        <v>25</v>
      </c>
      <c r="B31" s="31" t="n">
        <f aca="false">EOMONTH(Inputs!$B$17,3*(A31-1))</f>
        <v>47208</v>
      </c>
      <c r="C31" s="30" t="n">
        <f aca="false">IF(A31&lt;=Inputs!$B$18,1,0)</f>
        <v>0</v>
      </c>
      <c r="D31" s="33" t="n">
        <f aca="false">I30</f>
        <v>70.6916706301332</v>
      </c>
      <c r="E31" s="33" t="n">
        <f aca="false">IF(C31=1,Inputs!$B$19*Inputs!$B$13/Inputs!$B$18,0)</f>
        <v>0</v>
      </c>
      <c r="F31" s="33" t="n">
        <f aca="false">D31*((1+Inputs!$B$24)^(1/4)-1)</f>
        <v>2.98648523890956</v>
      </c>
      <c r="G31" s="18" t="n">
        <f aca="false">IF(A31=MAX($A$7:$A$46),1,IF(A31&lt;Inputs!$B$25,0,MIN(1,Inputs!$B$26+Inputs!$B$27*(A31-Inputs!$B$25))))</f>
        <v>0.16</v>
      </c>
      <c r="H31" s="33" t="n">
        <f aca="false">G31*(D31+E31+F31)</f>
        <v>11.7885049390468</v>
      </c>
      <c r="I31" s="33" t="n">
        <f aca="false">D31+E31+F31-H31</f>
        <v>61.8896509299959</v>
      </c>
      <c r="J31" s="33" t="n">
        <f aca="false">IF(C31=1,Inputs!$B$20*Inputs!$B$13/4,Inputs!$B$21*D31/4)</f>
        <v>0.265093764862999</v>
      </c>
      <c r="K31" s="33" t="n">
        <f aca="false">Inputs!$B$22*Inputs!$B$13/4</f>
        <v>0.0375</v>
      </c>
      <c r="L31" s="33" t="n">
        <f aca="false">IF(C31=1,MIN(E31+J31+K31,Inputs!$B$13-P30),0)</f>
        <v>0</v>
      </c>
      <c r="M31" s="33" t="n">
        <f aca="false">MAX(0,IF(C31=1,H31,H31-J31-K31)-AH31-AI31+AK31)</f>
        <v>8.51500116079246</v>
      </c>
      <c r="N31" s="33" t="n">
        <f aca="false">MAX(0,Inputs!$B$23*MAX(0,Q31-P31)-R30)</f>
        <v>0</v>
      </c>
      <c r="O31" s="33" t="n">
        <f aca="false">M31-N31</f>
        <v>8.51500116079246</v>
      </c>
      <c r="P31" s="33" t="n">
        <f aca="false">P30+L31</f>
        <v>95.75</v>
      </c>
      <c r="Q31" s="33" t="n">
        <f aca="false">Q30+M31</f>
        <v>84.7851307502879</v>
      </c>
      <c r="R31" s="33" t="n">
        <f aca="false">R30+N31</f>
        <v>0</v>
      </c>
      <c r="S31" s="33" t="n">
        <f aca="false">MAX(0,Inputs!$B$23*MAX(0,Q31+I31-AJ31-P31)-R31)</f>
        <v>9.57416714120096</v>
      </c>
      <c r="T31" s="33" t="n">
        <f aca="false">I31-AJ31-S31</f>
        <v>49.2615378145159</v>
      </c>
      <c r="U31" s="33" t="n">
        <f aca="false">U30+O31</f>
        <v>84.7851307502879</v>
      </c>
      <c r="V31" s="34" t="n">
        <f aca="false">IF(P31&gt;0,U31/P31,0)</f>
        <v>0.885484394258882</v>
      </c>
      <c r="W31" s="34" t="n">
        <f aca="false">IF(P31&gt;0,T31/P31,0)</f>
        <v>0.514480812684239</v>
      </c>
      <c r="X31" s="34" t="n">
        <f aca="false">V31+W31</f>
        <v>1.39996520694312</v>
      </c>
      <c r="Y31" s="33" t="n">
        <f aca="false">-L31+O31</f>
        <v>8.51500116079246</v>
      </c>
      <c r="Z31" s="33" t="n">
        <f aca="false">IF(B31&lt;Inputs!$B$31,Y31,IF(B31=Inputs!$B$31,Y31+T31,0))</f>
        <v>0</v>
      </c>
      <c r="AA31" s="33" t="n">
        <f aca="false">-E31+H31</f>
        <v>11.7885049390468</v>
      </c>
      <c r="AB31" s="33" t="n">
        <f aca="false">IF(B31&lt;Inputs!$B$31,AA31,IF(B31=Inputs!$B$31,AA31+I31,0))</f>
        <v>0</v>
      </c>
      <c r="AC31" s="33" t="n">
        <f aca="false">Inputs!$B$13-P31</f>
        <v>4.25000000000003</v>
      </c>
      <c r="AD31" s="33" t="n">
        <f aca="false">N31+S31-S30</f>
        <v>0.510263036183876</v>
      </c>
      <c r="AE31" s="33" t="n">
        <f aca="false">AJ30</f>
        <v>5.89227969454322</v>
      </c>
      <c r="AF31" s="33" t="n">
        <f aca="false">IF(AND(Inputs!$B$35=1,A31=Inputs!$B$36),MIN(Inputs!$B$37*I31,Inputs!$B$38),0)</f>
        <v>0</v>
      </c>
      <c r="AG31" s="33" t="n">
        <f aca="false">Inputs!$B$40*AF31</f>
        <v>0</v>
      </c>
      <c r="AH31" s="33" t="n">
        <f aca="false">Inputs!$B$39/4*AE31</f>
        <v>0.132576293127222</v>
      </c>
      <c r="AI31" s="33" t="n">
        <f aca="false">IF(A31=MAX($A$7:$A$46),AE31,MIN(AE31,Inputs!$B$41*MAX(0,IF(C31=1,H31,H31-J31-K31)-AH31)))</f>
        <v>2.83833372026415</v>
      </c>
      <c r="AJ31" s="33" t="n">
        <f aca="false">AE31+AF31-AI31</f>
        <v>3.05394597427906</v>
      </c>
      <c r="AK31" s="33" t="n">
        <f aca="false">AF31-AG31</f>
        <v>0</v>
      </c>
      <c r="AL31" s="18" t="n">
        <f aca="false">IF(I31&gt;0,AJ31/I31,0)</f>
        <v>0.0493450185675375</v>
      </c>
      <c r="AM31" s="33" t="n">
        <f aca="false">IF(C31=1,H31,MAX(0,H31-J31-K31))</f>
        <v>11.4859111741838</v>
      </c>
      <c r="AN31" s="33" t="n">
        <f aca="false">AN30+AM31</f>
        <v>82.7833422836868</v>
      </c>
      <c r="AO31" s="33" t="n">
        <f aca="false">MAX(0,Inputs!$B$23*MAX(0,AN31-P31)-AP30)</f>
        <v>0</v>
      </c>
      <c r="AP31" s="33" t="n">
        <f aca="false">AP30+AO31</f>
        <v>0</v>
      </c>
      <c r="AQ31" s="33" t="n">
        <f aca="false">AM31-AO31</f>
        <v>11.4859111741838</v>
      </c>
      <c r="AR31" s="33" t="n">
        <f aca="false">MAX(0,Inputs!$B$23*MAX(0,AN31+I31-P31)-AP31)</f>
        <v>9.78459864273654</v>
      </c>
      <c r="AS31" s="33" t="n">
        <f aca="false">I31-AR31</f>
        <v>52.1050522872594</v>
      </c>
      <c r="AT31" s="33" t="n">
        <f aca="false">AT30+AQ31</f>
        <v>82.7833422836868</v>
      </c>
      <c r="AU31" s="33" t="n">
        <f aca="false">-L31+AQ31</f>
        <v>11.4859111741838</v>
      </c>
      <c r="AV31" s="33" t="n">
        <f aca="false">IF(B31&lt;Inputs!$B$31,AU31,IF(B31=Inputs!$B$31,AU31+AS31,0))</f>
        <v>0</v>
      </c>
      <c r="AW31" s="34" t="n">
        <f aca="false">IF(P31&gt;0,(AT31+AS31)/P31,0)</f>
        <v>1.40875607906993</v>
      </c>
    </row>
    <row r="32" customFormat="false" ht="15" hidden="false" customHeight="false" outlineLevel="0" collapsed="false">
      <c r="A32" s="30" t="n">
        <f aca="false">A31+1</f>
        <v>26</v>
      </c>
      <c r="B32" s="31" t="n">
        <f aca="false">EOMONTH(Inputs!$B$17,3*(A32-1))</f>
        <v>47299</v>
      </c>
      <c r="C32" s="30" t="n">
        <f aca="false">IF(A32&lt;=Inputs!$B$18,1,0)</f>
        <v>0</v>
      </c>
      <c r="D32" s="33" t="n">
        <f aca="false">I31</f>
        <v>61.8896509299959</v>
      </c>
      <c r="E32" s="33" t="n">
        <f aca="false">IF(C32=1,Inputs!$B$19*Inputs!$B$13/Inputs!$B$18,0)</f>
        <v>0</v>
      </c>
      <c r="F32" s="33" t="n">
        <f aca="false">D32*((1+Inputs!$B$24)^(1/4)-1)</f>
        <v>2.6146295213585</v>
      </c>
      <c r="G32" s="18" t="n">
        <f aca="false">IF(A32=MAX($A$7:$A$46),1,IF(A32&lt;Inputs!$B$25,0,MIN(1,Inputs!$B$26+Inputs!$B$27*(A32-Inputs!$B$25))))</f>
        <v>0.175</v>
      </c>
      <c r="H32" s="33" t="n">
        <f aca="false">G32*(D32+E32+F32)</f>
        <v>11.288249078987</v>
      </c>
      <c r="I32" s="33" t="n">
        <f aca="false">D32+E32+F32-H32</f>
        <v>53.2160313723674</v>
      </c>
      <c r="J32" s="33" t="n">
        <f aca="false">IF(C32=1,Inputs!$B$20*Inputs!$B$13/4,Inputs!$B$21*D32/4)</f>
        <v>0.232086190987485</v>
      </c>
      <c r="K32" s="33" t="n">
        <f aca="false">Inputs!$B$22*Inputs!$B$13/4</f>
        <v>0.0375</v>
      </c>
      <c r="L32" s="33" t="n">
        <f aca="false">IF(C32=1,MIN(E32+J32+K32,Inputs!$B$13-P31),0)</f>
        <v>0</v>
      </c>
      <c r="M32" s="33" t="n">
        <f aca="false">MAX(0,IF(C32=1,H32,H32-J32-K32)-AH32-AI32+AK32)</f>
        <v>8.21246182768369</v>
      </c>
      <c r="N32" s="33" t="n">
        <f aca="false">MAX(0,Inputs!$B$23*MAX(0,Q32-P32)-R31)</f>
        <v>0</v>
      </c>
      <c r="O32" s="33" t="n">
        <f aca="false">M32-N32</f>
        <v>8.21246182768369</v>
      </c>
      <c r="P32" s="33" t="n">
        <f aca="false">P31+L32</f>
        <v>95.75</v>
      </c>
      <c r="Q32" s="33" t="n">
        <f aca="false">Q31+M32</f>
        <v>92.9975925779716</v>
      </c>
      <c r="R32" s="33" t="n">
        <f aca="false">R31+N32</f>
        <v>0</v>
      </c>
      <c r="S32" s="33" t="n">
        <f aca="false">MAX(0,Inputs!$B$23*MAX(0,Q32+I32-AJ32-P32)-R32)</f>
        <v>10.0294330503909</v>
      </c>
      <c r="T32" s="33" t="n">
        <f aca="false">I32-AJ32-S32</f>
        <v>42.870139623592</v>
      </c>
      <c r="U32" s="33" t="n">
        <f aca="false">U31+O32</f>
        <v>92.9975925779716</v>
      </c>
      <c r="V32" s="34" t="n">
        <f aca="false">IF(P32&gt;0,U32/P32,0)</f>
        <v>0.971254230579339</v>
      </c>
      <c r="W32" s="34" t="n">
        <f aca="false">IF(P32&gt;0,T32/P32,0)</f>
        <v>0.447729917739864</v>
      </c>
      <c r="X32" s="34" t="n">
        <f aca="false">V32+W32</f>
        <v>1.4189841483192</v>
      </c>
      <c r="Y32" s="33" t="n">
        <f aca="false">-L32+O32</f>
        <v>8.21246182768369</v>
      </c>
      <c r="Z32" s="33" t="n">
        <f aca="false">IF(B32&lt;Inputs!$B$31,Y32,IF(B32=Inputs!$B$31,Y32+T32,0))</f>
        <v>0</v>
      </c>
      <c r="AA32" s="33" t="n">
        <f aca="false">-E32+H32</f>
        <v>11.288249078987</v>
      </c>
      <c r="AB32" s="33" t="n">
        <f aca="false">IF(B32&lt;Inputs!$B$31,AA32,IF(B32=Inputs!$B$31,AA32+I32,0))</f>
        <v>0</v>
      </c>
      <c r="AC32" s="33" t="n">
        <f aca="false">Inputs!$B$13-P32</f>
        <v>4.25000000000003</v>
      </c>
      <c r="AD32" s="33" t="n">
        <f aca="false">N32+S32-S31</f>
        <v>0.455265909189944</v>
      </c>
      <c r="AE32" s="33" t="n">
        <f aca="false">AJ31</f>
        <v>3.05394597427906</v>
      </c>
      <c r="AF32" s="33" t="n">
        <f aca="false">IF(AND(Inputs!$B$35=1,A32=Inputs!$B$36),MIN(Inputs!$B$37*I32,Inputs!$B$38),0)</f>
        <v>0</v>
      </c>
      <c r="AG32" s="33" t="n">
        <f aca="false">Inputs!$B$40*AF32</f>
        <v>0</v>
      </c>
      <c r="AH32" s="33" t="n">
        <f aca="false">Inputs!$B$39/4*AE32</f>
        <v>0.0687137844212789</v>
      </c>
      <c r="AI32" s="33" t="n">
        <f aca="false">IF(A32=MAX($A$7:$A$46),AE32,MIN(AE32,Inputs!$B$41*MAX(0,IF(C32=1,H32,H32-J32-K32)-AH32)))</f>
        <v>2.73748727589456</v>
      </c>
      <c r="AJ32" s="33" t="n">
        <f aca="false">AE32+AF32-AI32</f>
        <v>0.316458698384499</v>
      </c>
      <c r="AK32" s="33" t="n">
        <f aca="false">AF32-AG32</f>
        <v>0</v>
      </c>
      <c r="AL32" s="18" t="n">
        <f aca="false">IF(I32&gt;0,AJ32/I32,0)</f>
        <v>0.00594667979222557</v>
      </c>
      <c r="AM32" s="33" t="n">
        <f aca="false">IF(C32=1,H32,MAX(0,H32-J32-K32))</f>
        <v>11.0186628879995</v>
      </c>
      <c r="AN32" s="33" t="n">
        <f aca="false">AN31+AM32</f>
        <v>93.8020051716863</v>
      </c>
      <c r="AO32" s="33" t="n">
        <f aca="false">MAX(0,Inputs!$B$23*MAX(0,AN32-P32)-AP31)</f>
        <v>0</v>
      </c>
      <c r="AP32" s="33" t="n">
        <f aca="false">AP31+AO32</f>
        <v>0</v>
      </c>
      <c r="AQ32" s="33" t="n">
        <f aca="false">AM32-AO32</f>
        <v>11.0186628879995</v>
      </c>
      <c r="AR32" s="33" t="n">
        <f aca="false">MAX(0,Inputs!$B$23*MAX(0,AN32+I32-P32)-AP32)</f>
        <v>10.2536073088107</v>
      </c>
      <c r="AS32" s="33" t="n">
        <f aca="false">I32-AR32</f>
        <v>42.9624240635566</v>
      </c>
      <c r="AT32" s="33" t="n">
        <f aca="false">AT31+AQ32</f>
        <v>93.8020051716863</v>
      </c>
      <c r="AU32" s="33" t="n">
        <f aca="false">-L32+AQ32</f>
        <v>11.0186628879995</v>
      </c>
      <c r="AV32" s="33" t="n">
        <f aca="false">IF(B32&lt;Inputs!$B$31,AU32,IF(B32=Inputs!$B$31,AU32+AS32,0))</f>
        <v>0</v>
      </c>
      <c r="AW32" s="34" t="n">
        <f aca="false">IF(P32&gt;0,(AT32+AS32)/P32,0)</f>
        <v>1.42834913039418</v>
      </c>
    </row>
    <row r="33" customFormat="false" ht="15" hidden="false" customHeight="false" outlineLevel="0" collapsed="false">
      <c r="A33" s="30" t="n">
        <f aca="false">A32+1</f>
        <v>27</v>
      </c>
      <c r="B33" s="31" t="n">
        <f aca="false">EOMONTH(Inputs!$B$17,3*(A33-1))</f>
        <v>47391</v>
      </c>
      <c r="C33" s="30" t="n">
        <f aca="false">IF(A33&lt;=Inputs!$B$18,1,0)</f>
        <v>0</v>
      </c>
      <c r="D33" s="33" t="n">
        <f aca="false">I32</f>
        <v>53.2160313723674</v>
      </c>
      <c r="E33" s="33" t="n">
        <f aca="false">IF(C33=1,Inputs!$B$19*Inputs!$B$13/Inputs!$B$18,0)</f>
        <v>0</v>
      </c>
      <c r="F33" s="33" t="n">
        <f aca="false">D33*((1+Inputs!$B$24)^(1/4)-1)</f>
        <v>2.24819827782055</v>
      </c>
      <c r="G33" s="18" t="n">
        <f aca="false">IF(A33=MAX($A$7:$A$46),1,IF(A33&lt;Inputs!$B$25,0,MIN(1,Inputs!$B$26+Inputs!$B$27*(A33-Inputs!$B$25))))</f>
        <v>0.19</v>
      </c>
      <c r="H33" s="33" t="n">
        <f aca="false">G33*(D33+E33+F33)</f>
        <v>10.5382036335357</v>
      </c>
      <c r="I33" s="33" t="n">
        <f aca="false">D33+E33+F33-H33</f>
        <v>44.9260260166522</v>
      </c>
      <c r="J33" s="33" t="n">
        <f aca="false">IF(C33=1,Inputs!$B$20*Inputs!$B$13/4,Inputs!$B$21*D33/4)</f>
        <v>0.199560117646378</v>
      </c>
      <c r="K33" s="33" t="n">
        <f aca="false">Inputs!$B$22*Inputs!$B$13/4</f>
        <v>0.0375</v>
      </c>
      <c r="L33" s="33" t="n">
        <f aca="false">IF(C33=1,MIN(E33+J33+K33,Inputs!$B$13-P32),0)</f>
        <v>0</v>
      </c>
      <c r="M33" s="33" t="n">
        <f aca="false">MAX(0,IF(C33=1,H33,H33-J33-K33)-AH33-AI33+AK33)</f>
        <v>9.97756449679118</v>
      </c>
      <c r="N33" s="33" t="n">
        <f aca="false">MAX(0,Inputs!$B$23*MAX(0,Q33-P33)-R32)</f>
        <v>1.44503141495257</v>
      </c>
      <c r="O33" s="33" t="n">
        <f aca="false">M33-N33</f>
        <v>8.53253308183861</v>
      </c>
      <c r="P33" s="33" t="n">
        <f aca="false">P32+L33</f>
        <v>95.75</v>
      </c>
      <c r="Q33" s="33" t="n">
        <f aca="false">Q32+M33</f>
        <v>102.975157074763</v>
      </c>
      <c r="R33" s="33" t="n">
        <f aca="false">R32+N33</f>
        <v>1.44503141495257</v>
      </c>
      <c r="S33" s="33" t="n">
        <f aca="false">MAX(0,Inputs!$B$23*MAX(0,Q33+I33-AJ33-P33)-R33)</f>
        <v>8.98520520333045</v>
      </c>
      <c r="T33" s="33" t="n">
        <f aca="false">I33-AJ33-S33</f>
        <v>35.9408208133218</v>
      </c>
      <c r="U33" s="33" t="n">
        <f aca="false">U32+O33</f>
        <v>101.53012565981</v>
      </c>
      <c r="V33" s="34" t="n">
        <f aca="false">IF(P33&gt;0,U33/P33,0)</f>
        <v>1.06036684762204</v>
      </c>
      <c r="W33" s="34" t="n">
        <f aca="false">IF(P33&gt;0,T33/P33,0)</f>
        <v>0.375361052880645</v>
      </c>
      <c r="X33" s="34" t="n">
        <f aca="false">V33+W33</f>
        <v>1.43572790050268</v>
      </c>
      <c r="Y33" s="33" t="n">
        <f aca="false">-L33+O33</f>
        <v>8.53253308183861</v>
      </c>
      <c r="Z33" s="33" t="n">
        <f aca="false">IF(B33&lt;Inputs!$B$31,Y33,IF(B33=Inputs!$B$31,Y33+T33,0))</f>
        <v>0</v>
      </c>
      <c r="AA33" s="33" t="n">
        <f aca="false">-E33+H33</f>
        <v>10.5382036335357</v>
      </c>
      <c r="AB33" s="33" t="n">
        <f aca="false">IF(B33&lt;Inputs!$B$31,AA33,IF(B33=Inputs!$B$31,AA33+I33,0))</f>
        <v>0</v>
      </c>
      <c r="AC33" s="33" t="n">
        <f aca="false">Inputs!$B$13-P33</f>
        <v>4.25000000000003</v>
      </c>
      <c r="AD33" s="33" t="n">
        <f aca="false">N33+S33-S32</f>
        <v>0.400803567892105</v>
      </c>
      <c r="AE33" s="33" t="n">
        <f aca="false">AJ32</f>
        <v>0.316458698384499</v>
      </c>
      <c r="AF33" s="33" t="n">
        <f aca="false">IF(AND(Inputs!$B$35=1,A33=Inputs!$B$36),MIN(Inputs!$B$37*I33,Inputs!$B$38),0)</f>
        <v>0</v>
      </c>
      <c r="AG33" s="33" t="n">
        <f aca="false">Inputs!$B$40*AF33</f>
        <v>0</v>
      </c>
      <c r="AH33" s="33" t="n">
        <f aca="false">Inputs!$B$39/4*AE33</f>
        <v>0.00712032071365123</v>
      </c>
      <c r="AI33" s="33" t="n">
        <f aca="false">IF(A33=MAX($A$7:$A$46),AE33,MIN(AE33,Inputs!$B$41*MAX(0,IF(C33=1,H33,H33-J33-K33)-AH33)))</f>
        <v>0.316458698384499</v>
      </c>
      <c r="AJ33" s="33" t="n">
        <f aca="false">AE33+AF33-AI33</f>
        <v>0</v>
      </c>
      <c r="AK33" s="33" t="n">
        <f aca="false">AF33-AG33</f>
        <v>0</v>
      </c>
      <c r="AL33" s="18" t="n">
        <f aca="false">IF(I33&gt;0,AJ33/I33,0)</f>
        <v>0</v>
      </c>
      <c r="AM33" s="33" t="n">
        <f aca="false">IF(C33=1,H33,MAX(0,H33-J33-K33))</f>
        <v>10.3011435158893</v>
      </c>
      <c r="AN33" s="33" t="n">
        <f aca="false">AN32+AM33</f>
        <v>104.103148687576</v>
      </c>
      <c r="AO33" s="33" t="n">
        <f aca="false">MAX(0,Inputs!$B$23*MAX(0,AN33-P33)-AP32)</f>
        <v>1.67062973751513</v>
      </c>
      <c r="AP33" s="33" t="n">
        <f aca="false">AP32+AO33</f>
        <v>1.67062973751513</v>
      </c>
      <c r="AQ33" s="33" t="n">
        <f aca="false">AM33-AO33</f>
        <v>8.6305137783742</v>
      </c>
      <c r="AR33" s="33" t="n">
        <f aca="false">MAX(0,Inputs!$B$23*MAX(0,AN33+I33-P33)-AP33)</f>
        <v>8.98520520333045</v>
      </c>
      <c r="AS33" s="33" t="n">
        <f aca="false">I33-AR33</f>
        <v>35.9408208133218</v>
      </c>
      <c r="AT33" s="33" t="n">
        <f aca="false">AT32+AQ33</f>
        <v>102.432518950061</v>
      </c>
      <c r="AU33" s="33" t="n">
        <f aca="false">-L33+AQ33</f>
        <v>8.6305137783742</v>
      </c>
      <c r="AV33" s="33" t="n">
        <f aca="false">IF(B33&lt;Inputs!$B$31,AU33,IF(B33=Inputs!$B$31,AU33+AS33,0))</f>
        <v>0</v>
      </c>
      <c r="AW33" s="34" t="n">
        <f aca="false">IF(P33&gt;0,(AT33+AS33)/P33,0)</f>
        <v>1.44515237350791</v>
      </c>
    </row>
    <row r="34" customFormat="false" ht="15" hidden="false" customHeight="false" outlineLevel="0" collapsed="false">
      <c r="A34" s="30" t="n">
        <f aca="false">A33+1</f>
        <v>28</v>
      </c>
      <c r="B34" s="31" t="n">
        <f aca="false">EOMONTH(Inputs!$B$17,3*(A34-1))</f>
        <v>47483</v>
      </c>
      <c r="C34" s="30" t="n">
        <f aca="false">IF(A34&lt;=Inputs!$B$18,1,0)</f>
        <v>0</v>
      </c>
      <c r="D34" s="33" t="n">
        <f aca="false">I33</f>
        <v>44.9260260166522</v>
      </c>
      <c r="E34" s="33" t="n">
        <f aca="false">IF(C34=1,Inputs!$B$19*Inputs!$B$13/Inputs!$B$18,0)</f>
        <v>0</v>
      </c>
      <c r="F34" s="33" t="n">
        <f aca="false">D34*((1+Inputs!$B$24)^(1/4)-1)</f>
        <v>1.89797344362671</v>
      </c>
      <c r="G34" s="18" t="n">
        <f aca="false">IF(A34=MAX($A$7:$A$46),1,IF(A34&lt;Inputs!$B$25,0,MIN(1,Inputs!$B$26+Inputs!$B$27*(A34-Inputs!$B$25))))</f>
        <v>0.205</v>
      </c>
      <c r="H34" s="33" t="n">
        <f aca="false">G34*(D34+E34+F34)</f>
        <v>9.59891988935718</v>
      </c>
      <c r="I34" s="33" t="n">
        <f aca="false">D34+E34+F34-H34</f>
        <v>37.2250795709218</v>
      </c>
      <c r="J34" s="33" t="n">
        <f aca="false">IF(C34=1,Inputs!$B$20*Inputs!$B$13/4,Inputs!$B$21*D34/4)</f>
        <v>0.168472597562446</v>
      </c>
      <c r="K34" s="33" t="n">
        <f aca="false">Inputs!$B$22*Inputs!$B$13/4</f>
        <v>0.0375</v>
      </c>
      <c r="L34" s="33" t="n">
        <f aca="false">IF(C34=1,MIN(E34+J34+K34,Inputs!$B$13-P33),0)</f>
        <v>0</v>
      </c>
      <c r="M34" s="33" t="n">
        <f aca="false">MAX(0,IF(C34=1,H34,H34-J34-K34)-AH34-AI34+AK34)</f>
        <v>9.39294729179474</v>
      </c>
      <c r="N34" s="33" t="n">
        <f aca="false">MAX(0,Inputs!$B$23*MAX(0,Q34-P34)-R33)</f>
        <v>1.87858945835895</v>
      </c>
      <c r="O34" s="33" t="n">
        <f aca="false">M34-N34</f>
        <v>7.51435783343579</v>
      </c>
      <c r="P34" s="33" t="n">
        <f aca="false">P33+L34</f>
        <v>95.75</v>
      </c>
      <c r="Q34" s="33" t="n">
        <f aca="false">Q33+M34</f>
        <v>112.368104366558</v>
      </c>
      <c r="R34" s="33" t="n">
        <f aca="false">R33+N34</f>
        <v>3.32362087331152</v>
      </c>
      <c r="S34" s="33" t="n">
        <f aca="false">MAX(0,Inputs!$B$23*MAX(0,Q34+I34-AJ34-P34)-R34)</f>
        <v>7.44501591418435</v>
      </c>
      <c r="T34" s="33" t="n">
        <f aca="false">I34-AJ34-S34</f>
        <v>29.7800636567374</v>
      </c>
      <c r="U34" s="33" t="n">
        <f aca="false">U33+O34</f>
        <v>109.044483493246</v>
      </c>
      <c r="V34" s="34" t="n">
        <f aca="false">IF(P34&gt;0,U34/P34,0)</f>
        <v>1.13884578060831</v>
      </c>
      <c r="W34" s="34" t="n">
        <f aca="false">IF(P34&gt;0,T34/P34,0)</f>
        <v>0.311018941584725</v>
      </c>
      <c r="X34" s="34" t="n">
        <f aca="false">V34+W34</f>
        <v>1.44986472219304</v>
      </c>
      <c r="Y34" s="33" t="n">
        <f aca="false">-L34+O34</f>
        <v>7.51435783343579</v>
      </c>
      <c r="Z34" s="33" t="n">
        <f aca="false">IF(B34&lt;Inputs!$B$31,Y34,IF(B34=Inputs!$B$31,Y34+T34,0))</f>
        <v>0</v>
      </c>
      <c r="AA34" s="33" t="n">
        <f aca="false">-E34+H34</f>
        <v>9.59891988935718</v>
      </c>
      <c r="AB34" s="33" t="n">
        <f aca="false">IF(B34&lt;Inputs!$B$31,AA34,IF(B34=Inputs!$B$31,AA34+I34,0))</f>
        <v>0</v>
      </c>
      <c r="AC34" s="33" t="n">
        <f aca="false">Inputs!$B$13-P34</f>
        <v>4.25000000000003</v>
      </c>
      <c r="AD34" s="33" t="n">
        <f aca="false">N34+S34-S33</f>
        <v>0.338400169212854</v>
      </c>
      <c r="AE34" s="33" t="n">
        <f aca="false">AJ33</f>
        <v>0</v>
      </c>
      <c r="AF34" s="33" t="n">
        <f aca="false">IF(AND(Inputs!$B$35=1,A34=Inputs!$B$36),MIN(Inputs!$B$37*I34,Inputs!$B$38),0)</f>
        <v>0</v>
      </c>
      <c r="AG34" s="33" t="n">
        <f aca="false">Inputs!$B$40*AF34</f>
        <v>0</v>
      </c>
      <c r="AH34" s="33" t="n">
        <f aca="false">Inputs!$B$39/4*AE34</f>
        <v>0</v>
      </c>
      <c r="AI34" s="33" t="n">
        <f aca="false">IF(A34=MAX($A$7:$A$46),AE34,MIN(AE34,Inputs!$B$41*MAX(0,IF(C34=1,H34,H34-J34-K34)-AH34)))</f>
        <v>0</v>
      </c>
      <c r="AJ34" s="33" t="n">
        <f aca="false">AE34+AF34-AI34</f>
        <v>0</v>
      </c>
      <c r="AK34" s="33" t="n">
        <f aca="false">AF34-AG34</f>
        <v>0</v>
      </c>
      <c r="AL34" s="18" t="n">
        <f aca="false">IF(I34&gt;0,AJ34/I34,0)</f>
        <v>0</v>
      </c>
      <c r="AM34" s="33" t="n">
        <f aca="false">IF(C34=1,H34,MAX(0,H34-J34-K34))</f>
        <v>9.39294729179474</v>
      </c>
      <c r="AN34" s="33" t="n">
        <f aca="false">AN33+AM34</f>
        <v>113.49609597937</v>
      </c>
      <c r="AO34" s="33" t="n">
        <f aca="false">MAX(0,Inputs!$B$23*MAX(0,AN34-P34)-AP33)</f>
        <v>1.87858945835895</v>
      </c>
      <c r="AP34" s="33" t="n">
        <f aca="false">AP33+AO34</f>
        <v>3.54921919587408</v>
      </c>
      <c r="AQ34" s="33" t="n">
        <f aca="false">AM34-AO34</f>
        <v>7.51435783343579</v>
      </c>
      <c r="AR34" s="33" t="n">
        <f aca="false">MAX(0,Inputs!$B$23*MAX(0,AN34+I34-P34)-AP34)</f>
        <v>7.44501591418435</v>
      </c>
      <c r="AS34" s="33" t="n">
        <f aca="false">I34-AR34</f>
        <v>29.7800636567374</v>
      </c>
      <c r="AT34" s="33" t="n">
        <f aca="false">AT33+AQ34</f>
        <v>109.946876783496</v>
      </c>
      <c r="AU34" s="33" t="n">
        <f aca="false">-L34+AQ34</f>
        <v>7.51435783343579</v>
      </c>
      <c r="AV34" s="33" t="n">
        <f aca="false">IF(B34&lt;Inputs!$B$31,AU34,IF(B34=Inputs!$B$31,AU34+AS34,0))</f>
        <v>0</v>
      </c>
      <c r="AW34" s="34" t="n">
        <f aca="false">IF(P34&gt;0,(AT34+AS34)/P34,0)</f>
        <v>1.45928919519826</v>
      </c>
    </row>
    <row r="35" customFormat="false" ht="15" hidden="false" customHeight="false" outlineLevel="0" collapsed="false">
      <c r="A35" s="30" t="n">
        <f aca="false">A34+1</f>
        <v>29</v>
      </c>
      <c r="B35" s="31" t="n">
        <f aca="false">EOMONTH(Inputs!$B$17,3*(A35-1))</f>
        <v>47573</v>
      </c>
      <c r="C35" s="30" t="n">
        <f aca="false">IF(A35&lt;=Inputs!$B$18,1,0)</f>
        <v>0</v>
      </c>
      <c r="D35" s="33" t="n">
        <f aca="false">I34</f>
        <v>37.2250795709218</v>
      </c>
      <c r="E35" s="33" t="n">
        <f aca="false">IF(C35=1,Inputs!$B$19*Inputs!$B$13/Inputs!$B$18,0)</f>
        <v>0</v>
      </c>
      <c r="F35" s="33" t="n">
        <f aca="false">D35*((1+Inputs!$B$24)^(1/4)-1)</f>
        <v>1.57263436646528</v>
      </c>
      <c r="G35" s="18" t="n">
        <f aca="false">IF(A35=MAX($A$7:$A$46),1,IF(A35&lt;Inputs!$B$25,0,MIN(1,Inputs!$B$26+Inputs!$B$27*(A35-Inputs!$B$25))))</f>
        <v>0.22</v>
      </c>
      <c r="H35" s="33" t="n">
        <f aca="false">G35*(D35+E35+F35)</f>
        <v>8.53549706622515</v>
      </c>
      <c r="I35" s="33" t="n">
        <f aca="false">D35+E35+F35-H35</f>
        <v>30.2622168711619</v>
      </c>
      <c r="J35" s="33" t="n">
        <f aca="false">IF(C35=1,Inputs!$B$20*Inputs!$B$13/4,Inputs!$B$21*D35/4)</f>
        <v>0.139594048390957</v>
      </c>
      <c r="K35" s="33" t="n">
        <f aca="false">Inputs!$B$22*Inputs!$B$13/4</f>
        <v>0.0375</v>
      </c>
      <c r="L35" s="33" t="n">
        <f aca="false">IF(C35=1,MIN(E35+J35+K35,Inputs!$B$13-P34),0)</f>
        <v>0</v>
      </c>
      <c r="M35" s="33" t="n">
        <f aca="false">MAX(0,IF(C35=1,H35,H35-J35-K35)-AH35-AI35+AK35)</f>
        <v>8.35840301783419</v>
      </c>
      <c r="N35" s="33" t="n">
        <f aca="false">MAX(0,Inputs!$B$23*MAX(0,Q35-P35)-R34)</f>
        <v>1.67168060356684</v>
      </c>
      <c r="O35" s="33" t="n">
        <f aca="false">M35-N35</f>
        <v>6.68672241426735</v>
      </c>
      <c r="P35" s="33" t="n">
        <f aca="false">P34+L35</f>
        <v>95.75</v>
      </c>
      <c r="Q35" s="33" t="n">
        <f aca="false">Q34+M35</f>
        <v>120.726507384392</v>
      </c>
      <c r="R35" s="33" t="n">
        <f aca="false">R34+N35</f>
        <v>4.99530147687835</v>
      </c>
      <c r="S35" s="33" t="n">
        <f aca="false">MAX(0,Inputs!$B$23*MAX(0,Q35+I35-AJ35-P35)-R35)</f>
        <v>6.05244337423238</v>
      </c>
      <c r="T35" s="33" t="n">
        <f aca="false">I35-AJ35-S35</f>
        <v>24.2097734969295</v>
      </c>
      <c r="U35" s="33" t="n">
        <f aca="false">U34+O35</f>
        <v>115.731205907513</v>
      </c>
      <c r="V35" s="34" t="n">
        <f aca="false">IF(P35&gt;0,U35/P35,0)</f>
        <v>1.20868100164505</v>
      </c>
      <c r="W35" s="34" t="n">
        <f aca="false">IF(P35&gt;0,T35/P35,0)</f>
        <v>0.252843587435295</v>
      </c>
      <c r="X35" s="34" t="n">
        <f aca="false">V35+W35</f>
        <v>1.46152458908034</v>
      </c>
      <c r="Y35" s="33" t="n">
        <f aca="false">-L35+O35</f>
        <v>6.68672241426735</v>
      </c>
      <c r="Z35" s="33" t="n">
        <f aca="false">IF(B35&lt;Inputs!$B$31,Y35,IF(B35=Inputs!$B$31,Y35+T35,0))</f>
        <v>0</v>
      </c>
      <c r="AA35" s="33" t="n">
        <f aca="false">-E35+H35</f>
        <v>8.53549706622515</v>
      </c>
      <c r="AB35" s="33" t="n">
        <f aca="false">IF(B35&lt;Inputs!$B$31,AA35,IF(B35=Inputs!$B$31,AA35+I35,0))</f>
        <v>0</v>
      </c>
      <c r="AC35" s="33" t="n">
        <f aca="false">Inputs!$B$13-P35</f>
        <v>4.25000000000003</v>
      </c>
      <c r="AD35" s="33" t="n">
        <f aca="false">N35+S35-S34</f>
        <v>0.279108063614865</v>
      </c>
      <c r="AE35" s="33" t="n">
        <f aca="false">AJ34</f>
        <v>0</v>
      </c>
      <c r="AF35" s="33" t="n">
        <f aca="false">IF(AND(Inputs!$B$35=1,A35=Inputs!$B$36),MIN(Inputs!$B$37*I35,Inputs!$B$38),0)</f>
        <v>0</v>
      </c>
      <c r="AG35" s="33" t="n">
        <f aca="false">Inputs!$B$40*AF35</f>
        <v>0</v>
      </c>
      <c r="AH35" s="33" t="n">
        <f aca="false">Inputs!$B$39/4*AE35</f>
        <v>0</v>
      </c>
      <c r="AI35" s="33" t="n">
        <f aca="false">IF(A35=MAX($A$7:$A$46),AE35,MIN(AE35,Inputs!$B$41*MAX(0,IF(C35=1,H35,H35-J35-K35)-AH35)))</f>
        <v>0</v>
      </c>
      <c r="AJ35" s="33" t="n">
        <f aca="false">AE35+AF35-AI35</f>
        <v>0</v>
      </c>
      <c r="AK35" s="33" t="n">
        <f aca="false">AF35-AG35</f>
        <v>0</v>
      </c>
      <c r="AL35" s="18" t="n">
        <f aca="false">IF(I35&gt;0,AJ35/I35,0)</f>
        <v>0</v>
      </c>
      <c r="AM35" s="33" t="n">
        <f aca="false">IF(C35=1,H35,MAX(0,H35-J35-K35))</f>
        <v>8.35840301783419</v>
      </c>
      <c r="AN35" s="33" t="n">
        <f aca="false">AN34+AM35</f>
        <v>121.854498997205</v>
      </c>
      <c r="AO35" s="33" t="n">
        <f aca="false">MAX(0,Inputs!$B$23*MAX(0,AN35-P35)-AP34)</f>
        <v>1.67168060356684</v>
      </c>
      <c r="AP35" s="33" t="n">
        <f aca="false">AP34+AO35</f>
        <v>5.22089979944092</v>
      </c>
      <c r="AQ35" s="33" t="n">
        <f aca="false">AM35-AO35</f>
        <v>6.68672241426735</v>
      </c>
      <c r="AR35" s="33" t="n">
        <f aca="false">MAX(0,Inputs!$B$23*MAX(0,AN35+I35-P35)-AP35)</f>
        <v>6.05244337423237</v>
      </c>
      <c r="AS35" s="33" t="n">
        <f aca="false">I35-AR35</f>
        <v>24.2097734969295</v>
      </c>
      <c r="AT35" s="33" t="n">
        <f aca="false">AT34+AQ35</f>
        <v>116.633599197764</v>
      </c>
      <c r="AU35" s="33" t="n">
        <f aca="false">-L35+AQ35</f>
        <v>6.68672241426735</v>
      </c>
      <c r="AV35" s="33" t="n">
        <f aca="false">IF(B35&lt;Inputs!$B$31,AU35,IF(B35=Inputs!$B$31,AU35+AS35,0))</f>
        <v>0</v>
      </c>
      <c r="AW35" s="34" t="n">
        <f aca="false">IF(P35&gt;0,(AT35+AS35)/P35,0)</f>
        <v>1.47094906208557</v>
      </c>
    </row>
    <row r="36" customFormat="false" ht="15" hidden="false" customHeight="false" outlineLevel="0" collapsed="false">
      <c r="A36" s="30" t="n">
        <f aca="false">A35+1</f>
        <v>30</v>
      </c>
      <c r="B36" s="31" t="n">
        <f aca="false">EOMONTH(Inputs!$B$17,3*(A36-1))</f>
        <v>47664</v>
      </c>
      <c r="C36" s="30" t="n">
        <f aca="false">IF(A36&lt;=Inputs!$B$18,1,0)</f>
        <v>0</v>
      </c>
      <c r="D36" s="33" t="n">
        <f aca="false">I35</f>
        <v>30.2622168711619</v>
      </c>
      <c r="E36" s="33" t="n">
        <f aca="false">IF(C36=1,Inputs!$B$19*Inputs!$B$13/Inputs!$B$18,0)</f>
        <v>0</v>
      </c>
      <c r="F36" s="33" t="n">
        <f aca="false">D36*((1+Inputs!$B$24)^(1/4)-1)</f>
        <v>1.27847684425611</v>
      </c>
      <c r="G36" s="18" t="n">
        <f aca="false">IF(A36=MAX($A$7:$A$46),1,IF(A36&lt;Inputs!$B$25,0,MIN(1,Inputs!$B$26+Inputs!$B$27*(A36-Inputs!$B$25))))</f>
        <v>0.235</v>
      </c>
      <c r="H36" s="33" t="n">
        <f aca="false">G36*(D36+E36+F36)</f>
        <v>7.41206302312323</v>
      </c>
      <c r="I36" s="33" t="n">
        <f aca="false">D36+E36+F36-H36</f>
        <v>24.1286306922948</v>
      </c>
      <c r="J36" s="33" t="n">
        <f aca="false">IF(C36=1,Inputs!$B$20*Inputs!$B$13/4,Inputs!$B$21*D36/4)</f>
        <v>0.113483313266857</v>
      </c>
      <c r="K36" s="33" t="n">
        <f aca="false">Inputs!$B$22*Inputs!$B$13/4</f>
        <v>0.0375</v>
      </c>
      <c r="L36" s="33" t="n">
        <f aca="false">IF(C36=1,MIN(E36+J36+K36,Inputs!$B$13-P35),0)</f>
        <v>0</v>
      </c>
      <c r="M36" s="33" t="n">
        <f aca="false">MAX(0,IF(C36=1,H36,H36-J36-K36)-AH36-AI36+AK36)</f>
        <v>7.26107970985637</v>
      </c>
      <c r="N36" s="33" t="n">
        <f aca="false">MAX(0,Inputs!$B$23*MAX(0,Q36-P36)-R35)</f>
        <v>1.45221594197128</v>
      </c>
      <c r="O36" s="33" t="n">
        <f aca="false">M36-N36</f>
        <v>5.8088637678851</v>
      </c>
      <c r="P36" s="33" t="n">
        <f aca="false">P35+L36</f>
        <v>95.75</v>
      </c>
      <c r="Q36" s="33" t="n">
        <f aca="false">Q35+M36</f>
        <v>127.987587094248</v>
      </c>
      <c r="R36" s="33" t="n">
        <f aca="false">R35+N36</f>
        <v>6.44751741884963</v>
      </c>
      <c r="S36" s="33" t="n">
        <f aca="false">MAX(0,Inputs!$B$23*MAX(0,Q36+I36-AJ36-P36)-R36)</f>
        <v>4.82572613845895</v>
      </c>
      <c r="T36" s="33" t="n">
        <f aca="false">I36-AJ36-S36</f>
        <v>19.3029045538358</v>
      </c>
      <c r="U36" s="33" t="n">
        <f aca="false">U35+O36</f>
        <v>121.540069675398</v>
      </c>
      <c r="V36" s="34" t="n">
        <f aca="false">IF(P36&gt;0,U36/P36,0)</f>
        <v>1.26934798616604</v>
      </c>
      <c r="W36" s="34" t="n">
        <f aca="false">IF(P36&gt;0,T36/P36,0)</f>
        <v>0.201596914400374</v>
      </c>
      <c r="X36" s="34" t="n">
        <f aca="false">V36+W36</f>
        <v>1.47094490056642</v>
      </c>
      <c r="Y36" s="33" t="n">
        <f aca="false">-L36+O36</f>
        <v>5.8088637678851</v>
      </c>
      <c r="Z36" s="33" t="n">
        <f aca="false">IF(B36&lt;Inputs!$B$31,Y36,IF(B36=Inputs!$B$31,Y36+T36,0))</f>
        <v>0</v>
      </c>
      <c r="AA36" s="33" t="n">
        <f aca="false">-E36+H36</f>
        <v>7.41206302312323</v>
      </c>
      <c r="AB36" s="33" t="n">
        <f aca="false">IF(B36&lt;Inputs!$B$31,AA36,IF(B36=Inputs!$B$31,AA36+I36,0))</f>
        <v>0</v>
      </c>
      <c r="AC36" s="33" t="n">
        <f aca="false">Inputs!$B$13-P36</f>
        <v>4.25000000000003</v>
      </c>
      <c r="AD36" s="33" t="n">
        <f aca="false">N36+S36-S35</f>
        <v>0.225498706197852</v>
      </c>
      <c r="AE36" s="33" t="n">
        <f aca="false">AJ35</f>
        <v>0</v>
      </c>
      <c r="AF36" s="33" t="n">
        <f aca="false">IF(AND(Inputs!$B$35=1,A36=Inputs!$B$36),MIN(Inputs!$B$37*I36,Inputs!$B$38),0)</f>
        <v>0</v>
      </c>
      <c r="AG36" s="33" t="n">
        <f aca="false">Inputs!$B$40*AF36</f>
        <v>0</v>
      </c>
      <c r="AH36" s="33" t="n">
        <f aca="false">Inputs!$B$39/4*AE36</f>
        <v>0</v>
      </c>
      <c r="AI36" s="33" t="n">
        <f aca="false">IF(A36=MAX($A$7:$A$46),AE36,MIN(AE36,Inputs!$B$41*MAX(0,IF(C36=1,H36,H36-J36-K36)-AH36)))</f>
        <v>0</v>
      </c>
      <c r="AJ36" s="33" t="n">
        <f aca="false">AE36+AF36-AI36</f>
        <v>0</v>
      </c>
      <c r="AK36" s="33" t="n">
        <f aca="false">AF36-AG36</f>
        <v>0</v>
      </c>
      <c r="AL36" s="18" t="n">
        <f aca="false">IF(I36&gt;0,AJ36/I36,0)</f>
        <v>0</v>
      </c>
      <c r="AM36" s="33" t="n">
        <f aca="false">IF(C36=1,H36,MAX(0,H36-J36-K36))</f>
        <v>7.26107970985637</v>
      </c>
      <c r="AN36" s="33" t="n">
        <f aca="false">AN35+AM36</f>
        <v>129.115578707061</v>
      </c>
      <c r="AO36" s="33" t="n">
        <f aca="false">MAX(0,Inputs!$B$23*MAX(0,AN36-P36)-AP35)</f>
        <v>1.45221594197127</v>
      </c>
      <c r="AP36" s="33" t="n">
        <f aca="false">AP35+AO36</f>
        <v>6.67311574141219</v>
      </c>
      <c r="AQ36" s="33" t="n">
        <f aca="false">AM36-AO36</f>
        <v>5.8088637678851</v>
      </c>
      <c r="AR36" s="33" t="n">
        <f aca="false">MAX(0,Inputs!$B$23*MAX(0,AN36+I36-P36)-AP36)</f>
        <v>4.82572613845895</v>
      </c>
      <c r="AS36" s="33" t="n">
        <f aca="false">I36-AR36</f>
        <v>19.3029045538358</v>
      </c>
      <c r="AT36" s="33" t="n">
        <f aca="false">AT35+AQ36</f>
        <v>122.442462965649</v>
      </c>
      <c r="AU36" s="33" t="n">
        <f aca="false">-L36+AQ36</f>
        <v>5.8088637678851</v>
      </c>
      <c r="AV36" s="33" t="n">
        <f aca="false">IF(B36&lt;Inputs!$B$31,AU36,IF(B36=Inputs!$B$31,AU36+AS36,0))</f>
        <v>0</v>
      </c>
      <c r="AW36" s="34" t="n">
        <f aca="false">IF(P36&gt;0,(AT36+AS36)/P36,0)</f>
        <v>1.48036937357164</v>
      </c>
    </row>
    <row r="37" customFormat="false" ht="15" hidden="false" customHeight="false" outlineLevel="0" collapsed="false">
      <c r="A37" s="30" t="n">
        <f aca="false">A36+1</f>
        <v>31</v>
      </c>
      <c r="B37" s="31" t="n">
        <f aca="false">EOMONTH(Inputs!$B$17,3*(A37-1))</f>
        <v>47756</v>
      </c>
      <c r="C37" s="30" t="n">
        <f aca="false">IF(A37&lt;=Inputs!$B$18,1,0)</f>
        <v>0</v>
      </c>
      <c r="D37" s="33" t="n">
        <f aca="false">I36</f>
        <v>24.1286306922948</v>
      </c>
      <c r="E37" s="33" t="n">
        <f aca="false">IF(C37=1,Inputs!$B$19*Inputs!$B$13/Inputs!$B$18,0)</f>
        <v>0</v>
      </c>
      <c r="F37" s="33" t="n">
        <f aca="false">D37*((1+Inputs!$B$24)^(1/4)-1)</f>
        <v>1.01935346491758</v>
      </c>
      <c r="G37" s="18" t="n">
        <f aca="false">IF(A37=MAX($A$7:$A$46),1,IF(A37&lt;Inputs!$B$25,0,MIN(1,Inputs!$B$26+Inputs!$B$27*(A37-Inputs!$B$25))))</f>
        <v>0.25</v>
      </c>
      <c r="H37" s="33" t="n">
        <f aca="false">G37*(D37+E37+F37)</f>
        <v>6.28699603930309</v>
      </c>
      <c r="I37" s="33" t="n">
        <f aca="false">D37+E37+F37-H37</f>
        <v>18.8609881179093</v>
      </c>
      <c r="J37" s="33" t="n">
        <f aca="false">IF(C37=1,Inputs!$B$20*Inputs!$B$13/4,Inputs!$B$21*D37/4)</f>
        <v>0.0904823650961054</v>
      </c>
      <c r="K37" s="33" t="n">
        <f aca="false">Inputs!$B$22*Inputs!$B$13/4</f>
        <v>0.0375</v>
      </c>
      <c r="L37" s="33" t="n">
        <f aca="false">IF(C37=1,MIN(E37+J37+K37,Inputs!$B$13-P36),0)</f>
        <v>0</v>
      </c>
      <c r="M37" s="33" t="n">
        <f aca="false">MAX(0,IF(C37=1,H37,H37-J37-K37)-AH37-AI37+AK37)</f>
        <v>6.15901367420698</v>
      </c>
      <c r="N37" s="33" t="n">
        <f aca="false">MAX(0,Inputs!$B$23*MAX(0,Q37-P37)-R36)</f>
        <v>1.2318027348414</v>
      </c>
      <c r="O37" s="33" t="n">
        <f aca="false">M37-N37</f>
        <v>4.92721093936558</v>
      </c>
      <c r="P37" s="33" t="n">
        <f aca="false">P36+L37</f>
        <v>95.75</v>
      </c>
      <c r="Q37" s="33" t="n">
        <f aca="false">Q36+M37</f>
        <v>134.146600768455</v>
      </c>
      <c r="R37" s="33" t="n">
        <f aca="false">R36+N37</f>
        <v>7.67932015369103</v>
      </c>
      <c r="S37" s="33" t="n">
        <f aca="false">MAX(0,Inputs!$B$23*MAX(0,Q37+I37-AJ37-P37)-R37)</f>
        <v>3.77219762358186</v>
      </c>
      <c r="T37" s="33" t="n">
        <f aca="false">I37-AJ37-S37</f>
        <v>15.0887904943274</v>
      </c>
      <c r="U37" s="33" t="n">
        <f aca="false">U36+O37</f>
        <v>126.467280614764</v>
      </c>
      <c r="V37" s="34" t="n">
        <f aca="false">IF(P37&gt;0,U37/P37,0)</f>
        <v>1.32080710824819</v>
      </c>
      <c r="W37" s="34" t="n">
        <f aca="false">IF(P37&gt;0,T37/P37,0)</f>
        <v>0.157585279314124</v>
      </c>
      <c r="X37" s="34" t="n">
        <f aca="false">V37+W37</f>
        <v>1.47839238756231</v>
      </c>
      <c r="Y37" s="33" t="n">
        <f aca="false">-L37+O37</f>
        <v>4.92721093936558</v>
      </c>
      <c r="Z37" s="33" t="n">
        <f aca="false">IF(B37&lt;Inputs!$B$31,Y37,IF(B37=Inputs!$B$31,Y37+T37,0))</f>
        <v>0</v>
      </c>
      <c r="AA37" s="33" t="n">
        <f aca="false">-E37+H37</f>
        <v>6.28699603930309</v>
      </c>
      <c r="AB37" s="33" t="n">
        <f aca="false">IF(B37&lt;Inputs!$B$31,AA37,IF(B37=Inputs!$B$31,AA37+I37,0))</f>
        <v>0</v>
      </c>
      <c r="AC37" s="33" t="n">
        <f aca="false">Inputs!$B$13-P37</f>
        <v>4.25000000000003</v>
      </c>
      <c r="AD37" s="33" t="n">
        <f aca="false">N37+S37-S36</f>
        <v>0.178274219964299</v>
      </c>
      <c r="AE37" s="33" t="n">
        <f aca="false">AJ36</f>
        <v>0</v>
      </c>
      <c r="AF37" s="33" t="n">
        <f aca="false">IF(AND(Inputs!$B$35=1,A37=Inputs!$B$36),MIN(Inputs!$B$37*I37,Inputs!$B$38),0)</f>
        <v>0</v>
      </c>
      <c r="AG37" s="33" t="n">
        <f aca="false">Inputs!$B$40*AF37</f>
        <v>0</v>
      </c>
      <c r="AH37" s="33" t="n">
        <f aca="false">Inputs!$B$39/4*AE37</f>
        <v>0</v>
      </c>
      <c r="AI37" s="33" t="n">
        <f aca="false">IF(A37=MAX($A$7:$A$46),AE37,MIN(AE37,Inputs!$B$41*MAX(0,IF(C37=1,H37,H37-J37-K37)-AH37)))</f>
        <v>0</v>
      </c>
      <c r="AJ37" s="33" t="n">
        <f aca="false">AE37+AF37-AI37</f>
        <v>0</v>
      </c>
      <c r="AK37" s="33" t="n">
        <f aca="false">AF37-AG37</f>
        <v>0</v>
      </c>
      <c r="AL37" s="18" t="n">
        <f aca="false">IF(I37&gt;0,AJ37/I37,0)</f>
        <v>0</v>
      </c>
      <c r="AM37" s="33" t="n">
        <f aca="false">IF(C37=1,H37,MAX(0,H37-J37-K37))</f>
        <v>6.15901367420698</v>
      </c>
      <c r="AN37" s="33" t="n">
        <f aca="false">AN36+AM37</f>
        <v>135.274592381268</v>
      </c>
      <c r="AO37" s="33" t="n">
        <f aca="false">MAX(0,Inputs!$B$23*MAX(0,AN37-P37)-AP36)</f>
        <v>1.2318027348414</v>
      </c>
      <c r="AP37" s="33" t="n">
        <f aca="false">AP36+AO37</f>
        <v>7.90491847625359</v>
      </c>
      <c r="AQ37" s="33" t="n">
        <f aca="false">AM37-AO37</f>
        <v>4.92721093936558</v>
      </c>
      <c r="AR37" s="33" t="n">
        <f aca="false">MAX(0,Inputs!$B$23*MAX(0,AN37+I37-P37)-AP37)</f>
        <v>3.77219762358185</v>
      </c>
      <c r="AS37" s="33" t="n">
        <f aca="false">I37-AR37</f>
        <v>15.0887904943274</v>
      </c>
      <c r="AT37" s="33" t="n">
        <f aca="false">AT36+AQ37</f>
        <v>127.369673905014</v>
      </c>
      <c r="AU37" s="33" t="n">
        <f aca="false">-L37+AQ37</f>
        <v>4.92721093936558</v>
      </c>
      <c r="AV37" s="33" t="n">
        <f aca="false">IF(B37&lt;Inputs!$B$31,AU37,IF(B37=Inputs!$B$31,AU37+AS37,0))</f>
        <v>0</v>
      </c>
      <c r="AW37" s="34" t="n">
        <f aca="false">IF(P37&gt;0,(AT37+AS37)/P37,0)</f>
        <v>1.48781686056754</v>
      </c>
    </row>
    <row r="38" customFormat="false" ht="15" hidden="false" customHeight="false" outlineLevel="0" collapsed="false">
      <c r="A38" s="30" t="n">
        <f aca="false">A37+1</f>
        <v>32</v>
      </c>
      <c r="B38" s="31" t="n">
        <f aca="false">EOMONTH(Inputs!$B$17,3*(A38-1))</f>
        <v>47848</v>
      </c>
      <c r="C38" s="30" t="n">
        <f aca="false">IF(A38&lt;=Inputs!$B$18,1,0)</f>
        <v>0</v>
      </c>
      <c r="D38" s="33" t="n">
        <f aca="false">I37</f>
        <v>18.8609881179093</v>
      </c>
      <c r="E38" s="33" t="n">
        <f aca="false">IF(C38=1,Inputs!$B$19*Inputs!$B$13/Inputs!$B$18,0)</f>
        <v>0</v>
      </c>
      <c r="F38" s="33" t="n">
        <f aca="false">D38*((1+Inputs!$B$24)^(1/4)-1)</f>
        <v>0.796813289363317</v>
      </c>
      <c r="G38" s="18" t="n">
        <f aca="false">IF(A38=MAX($A$7:$A$46),1,IF(A38&lt;Inputs!$B$25,0,MIN(1,Inputs!$B$26+Inputs!$B$27*(A38-Inputs!$B$25))))</f>
        <v>0.265</v>
      </c>
      <c r="H38" s="33" t="n">
        <f aca="false">G38*(D38+E38+F38)</f>
        <v>5.20931737292723</v>
      </c>
      <c r="I38" s="33" t="n">
        <f aca="false">D38+E38+F38-H38</f>
        <v>14.4484840343453</v>
      </c>
      <c r="J38" s="33" t="n">
        <f aca="false">IF(C38=1,Inputs!$B$20*Inputs!$B$13/4,Inputs!$B$21*D38/4)</f>
        <v>0.0707287054421597</v>
      </c>
      <c r="K38" s="33" t="n">
        <f aca="false">Inputs!$B$22*Inputs!$B$13/4</f>
        <v>0.0375</v>
      </c>
      <c r="L38" s="33" t="n">
        <f aca="false">IF(C38=1,MIN(E38+J38+K38,Inputs!$B$13-P37),0)</f>
        <v>0</v>
      </c>
      <c r="M38" s="33" t="n">
        <f aca="false">MAX(0,IF(C38=1,H38,H38-J38-K38)-AH38-AI38+AK38)</f>
        <v>5.10108866748507</v>
      </c>
      <c r="N38" s="33" t="n">
        <f aca="false">MAX(0,Inputs!$B$23*MAX(0,Q38-P38)-R37)</f>
        <v>1.02021773349701</v>
      </c>
      <c r="O38" s="33" t="n">
        <f aca="false">M38-N38</f>
        <v>4.08087093398806</v>
      </c>
      <c r="P38" s="33" t="n">
        <f aca="false">P37+L38</f>
        <v>95.75</v>
      </c>
      <c r="Q38" s="33" t="n">
        <f aca="false">Q37+M38</f>
        <v>139.24768943594</v>
      </c>
      <c r="R38" s="33" t="n">
        <f aca="false">R37+N38</f>
        <v>8.69953788718804</v>
      </c>
      <c r="S38" s="33" t="n">
        <f aca="false">MAX(0,Inputs!$B$23*MAX(0,Q38+I38-AJ38-P38)-R38)</f>
        <v>2.88969680686907</v>
      </c>
      <c r="T38" s="33" t="n">
        <f aca="false">I38-AJ38-S38</f>
        <v>11.5587872274763</v>
      </c>
      <c r="U38" s="33" t="n">
        <f aca="false">U37+O38</f>
        <v>130.548151548752</v>
      </c>
      <c r="V38" s="34" t="n">
        <f aca="false">IF(P38&gt;0,U38/P38,0)</f>
        <v>1.36342717022195</v>
      </c>
      <c r="W38" s="34" t="n">
        <f aca="false">IF(P38&gt;0,T38/P38,0)</f>
        <v>0.120718404464504</v>
      </c>
      <c r="X38" s="34" t="n">
        <f aca="false">V38+W38</f>
        <v>1.48414557468646</v>
      </c>
      <c r="Y38" s="33" t="n">
        <f aca="false">-L38+O38</f>
        <v>4.08087093398806</v>
      </c>
      <c r="Z38" s="33" t="n">
        <f aca="false">IF(B38&lt;Inputs!$B$31,Y38,IF(B38=Inputs!$B$31,Y38+T38,0))</f>
        <v>0</v>
      </c>
      <c r="AA38" s="33" t="n">
        <f aca="false">-E38+H38</f>
        <v>5.20931737292723</v>
      </c>
      <c r="AB38" s="33" t="n">
        <f aca="false">IF(B38&lt;Inputs!$B$31,AA38,IF(B38=Inputs!$B$31,AA38+I38,0))</f>
        <v>0</v>
      </c>
      <c r="AC38" s="33" t="n">
        <f aca="false">Inputs!$B$13-P38</f>
        <v>4.25000000000003</v>
      </c>
      <c r="AD38" s="33" t="n">
        <f aca="false">N38+S38-S37</f>
        <v>0.137716916784228</v>
      </c>
      <c r="AE38" s="33" t="n">
        <f aca="false">AJ37</f>
        <v>0</v>
      </c>
      <c r="AF38" s="33" t="n">
        <f aca="false">IF(AND(Inputs!$B$35=1,A38=Inputs!$B$36),MIN(Inputs!$B$37*I38,Inputs!$B$38),0)</f>
        <v>0</v>
      </c>
      <c r="AG38" s="33" t="n">
        <f aca="false">Inputs!$B$40*AF38</f>
        <v>0</v>
      </c>
      <c r="AH38" s="33" t="n">
        <f aca="false">Inputs!$B$39/4*AE38</f>
        <v>0</v>
      </c>
      <c r="AI38" s="33" t="n">
        <f aca="false">IF(A38=MAX($A$7:$A$46),AE38,MIN(AE38,Inputs!$B$41*MAX(0,IF(C38=1,H38,H38-J38-K38)-AH38)))</f>
        <v>0</v>
      </c>
      <c r="AJ38" s="33" t="n">
        <f aca="false">AE38+AF38-AI38</f>
        <v>0</v>
      </c>
      <c r="AK38" s="33" t="n">
        <f aca="false">AF38-AG38</f>
        <v>0</v>
      </c>
      <c r="AL38" s="18" t="n">
        <f aca="false">IF(I38&gt;0,AJ38/I38,0)</f>
        <v>0</v>
      </c>
      <c r="AM38" s="33" t="n">
        <f aca="false">IF(C38=1,H38,MAX(0,H38-J38-K38))</f>
        <v>5.10108866748507</v>
      </c>
      <c r="AN38" s="33" t="n">
        <f aca="false">AN37+AM38</f>
        <v>140.375681048753</v>
      </c>
      <c r="AO38" s="33" t="n">
        <f aca="false">MAX(0,Inputs!$B$23*MAX(0,AN38-P38)-AP37)</f>
        <v>1.02021773349701</v>
      </c>
      <c r="AP38" s="33" t="n">
        <f aca="false">AP37+AO38</f>
        <v>8.92513620975061</v>
      </c>
      <c r="AQ38" s="33" t="n">
        <f aca="false">AM38-AO38</f>
        <v>4.08087093398806</v>
      </c>
      <c r="AR38" s="33" t="n">
        <f aca="false">MAX(0,Inputs!$B$23*MAX(0,AN38+I38-P38)-AP38)</f>
        <v>2.88969680686907</v>
      </c>
      <c r="AS38" s="33" t="n">
        <f aca="false">I38-AR38</f>
        <v>11.5587872274763</v>
      </c>
      <c r="AT38" s="33" t="n">
        <f aca="false">AT37+AQ38</f>
        <v>131.450544839002</v>
      </c>
      <c r="AU38" s="33" t="n">
        <f aca="false">-L38+AQ38</f>
        <v>4.08087093398806</v>
      </c>
      <c r="AV38" s="33" t="n">
        <f aca="false">IF(B38&lt;Inputs!$B$31,AU38,IF(B38=Inputs!$B$31,AU38+AS38,0))</f>
        <v>0</v>
      </c>
      <c r="AW38" s="34" t="n">
        <f aca="false">IF(P38&gt;0,(AT38+AS38)/P38,0)</f>
        <v>1.49357004769168</v>
      </c>
    </row>
    <row r="39" customFormat="false" ht="15" hidden="false" customHeight="false" outlineLevel="0" collapsed="false">
      <c r="A39" s="30" t="n">
        <f aca="false">A38+1</f>
        <v>33</v>
      </c>
      <c r="B39" s="31" t="n">
        <f aca="false">EOMONTH(Inputs!$B$17,3*(A39-1))</f>
        <v>47938</v>
      </c>
      <c r="C39" s="30" t="n">
        <f aca="false">IF(A39&lt;=Inputs!$B$18,1,0)</f>
        <v>0</v>
      </c>
      <c r="D39" s="33" t="n">
        <f aca="false">I38</f>
        <v>14.4484840343453</v>
      </c>
      <c r="E39" s="33" t="n">
        <f aca="false">IF(C39=1,Inputs!$B$19*Inputs!$B$13/Inputs!$B$18,0)</f>
        <v>0</v>
      </c>
      <c r="F39" s="33" t="n">
        <f aca="false">D39*((1+Inputs!$B$24)^(1/4)-1)</f>
        <v>0.610399837895464</v>
      </c>
      <c r="G39" s="18" t="n">
        <f aca="false">IF(A39=MAX($A$7:$A$46),1,IF(A39&lt;Inputs!$B$25,0,MIN(1,Inputs!$B$26+Inputs!$B$27*(A39-Inputs!$B$25))))</f>
        <v>0.28</v>
      </c>
      <c r="H39" s="33" t="n">
        <f aca="false">G39*(D39+E39+F39)</f>
        <v>4.21648748422743</v>
      </c>
      <c r="I39" s="33" t="n">
        <f aca="false">D39+E39+F39-H39</f>
        <v>10.8423963880134</v>
      </c>
      <c r="J39" s="33" t="n">
        <f aca="false">IF(C39=1,Inputs!$B$20*Inputs!$B$13/4,Inputs!$B$21*D39/4)</f>
        <v>0.054181815128795</v>
      </c>
      <c r="K39" s="33" t="n">
        <f aca="false">Inputs!$B$22*Inputs!$B$13/4</f>
        <v>0.0375</v>
      </c>
      <c r="L39" s="33" t="n">
        <f aca="false">IF(C39=1,MIN(E39+J39+K39,Inputs!$B$13-P38),0)</f>
        <v>0</v>
      </c>
      <c r="M39" s="33" t="n">
        <f aca="false">MAX(0,IF(C39=1,H39,H39-J39-K39)-AH39-AI39+AK39)</f>
        <v>4.12480566909863</v>
      </c>
      <c r="N39" s="33" t="n">
        <f aca="false">MAX(0,Inputs!$B$23*MAX(0,Q39-P39)-R38)</f>
        <v>0.824961133819727</v>
      </c>
      <c r="O39" s="33" t="n">
        <f aca="false">M39-N39</f>
        <v>3.2998445352789</v>
      </c>
      <c r="P39" s="33" t="n">
        <f aca="false">P38+L39</f>
        <v>95.75</v>
      </c>
      <c r="Q39" s="33" t="n">
        <f aca="false">Q38+M39</f>
        <v>143.372495105039</v>
      </c>
      <c r="R39" s="33" t="n">
        <f aca="false">R38+N39</f>
        <v>9.52449902100777</v>
      </c>
      <c r="S39" s="33" t="n">
        <f aca="false">MAX(0,Inputs!$B$23*MAX(0,Q39+I39-AJ39-P39)-R39)</f>
        <v>2.16847927760268</v>
      </c>
      <c r="T39" s="33" t="n">
        <f aca="false">I39-AJ39-S39</f>
        <v>8.67391711041071</v>
      </c>
      <c r="U39" s="33" t="n">
        <f aca="false">U38+O39</f>
        <v>133.847996084031</v>
      </c>
      <c r="V39" s="34" t="n">
        <f aca="false">IF(P39&gt;0,U39/P39,0)</f>
        <v>1.39789029852774</v>
      </c>
      <c r="W39" s="34" t="n">
        <f aca="false">IF(P39&gt;0,T39/P39,0)</f>
        <v>0.0905892126413651</v>
      </c>
      <c r="X39" s="34" t="n">
        <f aca="false">V39+W39</f>
        <v>1.4884795111691</v>
      </c>
      <c r="Y39" s="33" t="n">
        <f aca="false">-L39+O39</f>
        <v>3.2998445352789</v>
      </c>
      <c r="Z39" s="33" t="n">
        <f aca="false">IF(B39&lt;Inputs!$B$31,Y39,IF(B39=Inputs!$B$31,Y39+T39,0))</f>
        <v>0</v>
      </c>
      <c r="AA39" s="33" t="n">
        <f aca="false">-E39+H39</f>
        <v>4.21648748422743</v>
      </c>
      <c r="AB39" s="33" t="n">
        <f aca="false">IF(B39&lt;Inputs!$B$31,AA39,IF(B39=Inputs!$B$31,AA39+I39,0))</f>
        <v>0</v>
      </c>
      <c r="AC39" s="33" t="n">
        <f aca="false">Inputs!$B$13-P39</f>
        <v>4.25000000000003</v>
      </c>
      <c r="AD39" s="33" t="n">
        <f aca="false">N39+S39-S38</f>
        <v>0.103743604553335</v>
      </c>
      <c r="AE39" s="33" t="n">
        <f aca="false">AJ38</f>
        <v>0</v>
      </c>
      <c r="AF39" s="33" t="n">
        <f aca="false">IF(AND(Inputs!$B$35=1,A39=Inputs!$B$36),MIN(Inputs!$B$37*I39,Inputs!$B$38),0)</f>
        <v>0</v>
      </c>
      <c r="AG39" s="33" t="n">
        <f aca="false">Inputs!$B$40*AF39</f>
        <v>0</v>
      </c>
      <c r="AH39" s="33" t="n">
        <f aca="false">Inputs!$B$39/4*AE39</f>
        <v>0</v>
      </c>
      <c r="AI39" s="33" t="n">
        <f aca="false">IF(A39=MAX($A$7:$A$46),AE39,MIN(AE39,Inputs!$B$41*MAX(0,IF(C39=1,H39,H39-J39-K39)-AH39)))</f>
        <v>0</v>
      </c>
      <c r="AJ39" s="33" t="n">
        <f aca="false">AE39+AF39-AI39</f>
        <v>0</v>
      </c>
      <c r="AK39" s="33" t="n">
        <f aca="false">AF39-AG39</f>
        <v>0</v>
      </c>
      <c r="AL39" s="18" t="n">
        <f aca="false">IF(I39&gt;0,AJ39/I39,0)</f>
        <v>0</v>
      </c>
      <c r="AM39" s="33" t="n">
        <f aca="false">IF(C39=1,H39,MAX(0,H39-J39-K39))</f>
        <v>4.12480566909863</v>
      </c>
      <c r="AN39" s="33" t="n">
        <f aca="false">AN38+AM39</f>
        <v>144.500486717852</v>
      </c>
      <c r="AO39" s="33" t="n">
        <f aca="false">MAX(0,Inputs!$B$23*MAX(0,AN39-P39)-AP38)</f>
        <v>0.824961133819727</v>
      </c>
      <c r="AP39" s="33" t="n">
        <f aca="false">AP38+AO39</f>
        <v>9.75009734357033</v>
      </c>
      <c r="AQ39" s="33" t="n">
        <f aca="false">AM39-AO39</f>
        <v>3.2998445352789</v>
      </c>
      <c r="AR39" s="33" t="n">
        <f aca="false">MAX(0,Inputs!$B$23*MAX(0,AN39+I39-P39)-AP39)</f>
        <v>2.16847927760268</v>
      </c>
      <c r="AS39" s="33" t="n">
        <f aca="false">I39-AR39</f>
        <v>8.67391711041071</v>
      </c>
      <c r="AT39" s="33" t="n">
        <f aca="false">AT38+AQ39</f>
        <v>134.750389374281</v>
      </c>
      <c r="AU39" s="33" t="n">
        <f aca="false">-L39+AQ39</f>
        <v>3.2998445352789</v>
      </c>
      <c r="AV39" s="33" t="n">
        <f aca="false">IF(B39&lt;Inputs!$B$31,AU39,IF(B39=Inputs!$B$31,AU39+AS39,0))</f>
        <v>0</v>
      </c>
      <c r="AW39" s="34" t="n">
        <f aca="false">IF(P39&gt;0,(AT39+AS39)/P39,0)</f>
        <v>1.49790398417433</v>
      </c>
    </row>
    <row r="40" customFormat="false" ht="15" hidden="false" customHeight="false" outlineLevel="0" collapsed="false">
      <c r="A40" s="30" t="n">
        <f aca="false">A39+1</f>
        <v>34</v>
      </c>
      <c r="B40" s="31" t="n">
        <f aca="false">EOMONTH(Inputs!$B$17,3*(A40-1))</f>
        <v>48029</v>
      </c>
      <c r="C40" s="30" t="n">
        <f aca="false">IF(A40&lt;=Inputs!$B$18,1,0)</f>
        <v>0</v>
      </c>
      <c r="D40" s="33" t="n">
        <f aca="false">I39</f>
        <v>10.8423963880134</v>
      </c>
      <c r="E40" s="33" t="n">
        <f aca="false">IF(C40=1,Inputs!$B$19*Inputs!$B$13/Inputs!$B$18,0)</f>
        <v>0</v>
      </c>
      <c r="F40" s="33" t="n">
        <f aca="false">D40*((1+Inputs!$B$24)^(1/4)-1)</f>
        <v>0.458054767677334</v>
      </c>
      <c r="G40" s="18" t="n">
        <f aca="false">IF(A40=MAX($A$7:$A$46),1,IF(A40&lt;Inputs!$B$25,0,MIN(1,Inputs!$B$26+Inputs!$B$27*(A40-Inputs!$B$25))))</f>
        <v>0.295</v>
      </c>
      <c r="H40" s="33" t="n">
        <f aca="false">G40*(D40+E40+F40)</f>
        <v>3.33363309092876</v>
      </c>
      <c r="I40" s="33" t="n">
        <f aca="false">D40+E40+F40-H40</f>
        <v>7.96681806476196</v>
      </c>
      <c r="J40" s="33" t="n">
        <f aca="false">IF(C40=1,Inputs!$B$20*Inputs!$B$13/4,Inputs!$B$21*D40/4)</f>
        <v>0.0406589864550502</v>
      </c>
      <c r="K40" s="33" t="n">
        <f aca="false">Inputs!$B$22*Inputs!$B$13/4</f>
        <v>0.0375</v>
      </c>
      <c r="L40" s="33" t="n">
        <f aca="false">IF(C40=1,MIN(E40+J40+K40,Inputs!$B$13-P39),0)</f>
        <v>0</v>
      </c>
      <c r="M40" s="33" t="n">
        <f aca="false">MAX(0,IF(C40=1,H40,H40-J40-K40)-AH40-AI40+AK40)</f>
        <v>3.25547410447371</v>
      </c>
      <c r="N40" s="33" t="n">
        <f aca="false">MAX(0,Inputs!$B$23*MAX(0,Q40-P40)-R39)</f>
        <v>0.651094820894741</v>
      </c>
      <c r="O40" s="33" t="n">
        <f aca="false">M40-N40</f>
        <v>2.60437928357897</v>
      </c>
      <c r="P40" s="33" t="n">
        <f aca="false">P39+L40</f>
        <v>95.75</v>
      </c>
      <c r="Q40" s="33" t="n">
        <f aca="false">Q39+M40</f>
        <v>146.627969209513</v>
      </c>
      <c r="R40" s="33" t="n">
        <f aca="false">R39+N40</f>
        <v>10.1755938419025</v>
      </c>
      <c r="S40" s="33" t="n">
        <f aca="false">MAX(0,Inputs!$B$23*MAX(0,Q40+I40-AJ40-P40)-R40)</f>
        <v>1.59336361295239</v>
      </c>
      <c r="T40" s="33" t="n">
        <f aca="false">I40-AJ40-S40</f>
        <v>6.37345445180957</v>
      </c>
      <c r="U40" s="33" t="n">
        <f aca="false">U39+O40</f>
        <v>136.45237536761</v>
      </c>
      <c r="V40" s="34" t="n">
        <f aca="false">IF(P40&gt;0,U40/P40,0)</f>
        <v>1.42509008216825</v>
      </c>
      <c r="W40" s="34" t="n">
        <f aca="false">IF(P40&gt;0,T40/P40,0)</f>
        <v>0.0665634929692905</v>
      </c>
      <c r="X40" s="34" t="n">
        <f aca="false">V40+W40</f>
        <v>1.49165357513754</v>
      </c>
      <c r="Y40" s="33" t="n">
        <f aca="false">-L40+O40</f>
        <v>2.60437928357897</v>
      </c>
      <c r="Z40" s="33" t="n">
        <f aca="false">IF(B40&lt;Inputs!$B$31,Y40,IF(B40=Inputs!$B$31,Y40+T40,0))</f>
        <v>0</v>
      </c>
      <c r="AA40" s="33" t="n">
        <f aca="false">-E40+H40</f>
        <v>3.33363309092876</v>
      </c>
      <c r="AB40" s="33" t="n">
        <f aca="false">IF(B40&lt;Inputs!$B$31,AA40,IF(B40=Inputs!$B$31,AA40+I40,0))</f>
        <v>0</v>
      </c>
      <c r="AC40" s="33" t="n">
        <f aca="false">Inputs!$B$13-P40</f>
        <v>4.25000000000003</v>
      </c>
      <c r="AD40" s="33" t="n">
        <f aca="false">N40+S40-S39</f>
        <v>0.0759791562444541</v>
      </c>
      <c r="AE40" s="33" t="n">
        <f aca="false">AJ39</f>
        <v>0</v>
      </c>
      <c r="AF40" s="33" t="n">
        <f aca="false">IF(AND(Inputs!$B$35=1,A40=Inputs!$B$36),MIN(Inputs!$B$37*I40,Inputs!$B$38),0)</f>
        <v>0</v>
      </c>
      <c r="AG40" s="33" t="n">
        <f aca="false">Inputs!$B$40*AF40</f>
        <v>0</v>
      </c>
      <c r="AH40" s="33" t="n">
        <f aca="false">Inputs!$B$39/4*AE40</f>
        <v>0</v>
      </c>
      <c r="AI40" s="33" t="n">
        <f aca="false">IF(A40=MAX($A$7:$A$46),AE40,MIN(AE40,Inputs!$B$41*MAX(0,IF(C40=1,H40,H40-J40-K40)-AH40)))</f>
        <v>0</v>
      </c>
      <c r="AJ40" s="33" t="n">
        <f aca="false">AE40+AF40-AI40</f>
        <v>0</v>
      </c>
      <c r="AK40" s="33" t="n">
        <f aca="false">AF40-AG40</f>
        <v>0</v>
      </c>
      <c r="AL40" s="18" t="n">
        <f aca="false">IF(I40&gt;0,AJ40/I40,0)</f>
        <v>0</v>
      </c>
      <c r="AM40" s="33" t="n">
        <f aca="false">IF(C40=1,H40,MAX(0,H40-J40-K40))</f>
        <v>3.25547410447371</v>
      </c>
      <c r="AN40" s="33" t="n">
        <f aca="false">AN39+AM40</f>
        <v>147.755960822325</v>
      </c>
      <c r="AO40" s="33" t="n">
        <f aca="false">MAX(0,Inputs!$B$23*MAX(0,AN40-P40)-AP39)</f>
        <v>0.651094820894741</v>
      </c>
      <c r="AP40" s="33" t="n">
        <f aca="false">AP39+AO40</f>
        <v>10.4011921644651</v>
      </c>
      <c r="AQ40" s="33" t="n">
        <f aca="false">AM40-AO40</f>
        <v>2.60437928357897</v>
      </c>
      <c r="AR40" s="33" t="n">
        <f aca="false">MAX(0,Inputs!$B$23*MAX(0,AN40+I40-P40)-AP40)</f>
        <v>1.59336361295239</v>
      </c>
      <c r="AS40" s="33" t="n">
        <f aca="false">I40-AR40</f>
        <v>6.37345445180957</v>
      </c>
      <c r="AT40" s="33" t="n">
        <f aca="false">AT39+AQ40</f>
        <v>137.35476865786</v>
      </c>
      <c r="AU40" s="33" t="n">
        <f aca="false">-L40+AQ40</f>
        <v>2.60437928357897</v>
      </c>
      <c r="AV40" s="33" t="n">
        <f aca="false">IF(B40&lt;Inputs!$B$31,AU40,IF(B40=Inputs!$B$31,AU40+AS40,0))</f>
        <v>0</v>
      </c>
      <c r="AW40" s="34" t="n">
        <f aca="false">IF(P40&gt;0,(AT40+AS40)/P40,0)</f>
        <v>1.50107804814277</v>
      </c>
    </row>
    <row r="41" customFormat="false" ht="15" hidden="false" customHeight="false" outlineLevel="0" collapsed="false">
      <c r="A41" s="30" t="n">
        <f aca="false">A40+1</f>
        <v>35</v>
      </c>
      <c r="B41" s="31" t="n">
        <f aca="false">EOMONTH(Inputs!$B$17,3*(A41-1))</f>
        <v>48121</v>
      </c>
      <c r="C41" s="30" t="n">
        <f aca="false">IF(A41&lt;=Inputs!$B$18,1,0)</f>
        <v>0</v>
      </c>
      <c r="D41" s="33" t="n">
        <f aca="false">I40</f>
        <v>7.96681806476196</v>
      </c>
      <c r="E41" s="33" t="n">
        <f aca="false">IF(C41=1,Inputs!$B$19*Inputs!$B$13/Inputs!$B$18,0)</f>
        <v>0</v>
      </c>
      <c r="F41" s="33" t="n">
        <f aca="false">D41*((1+Inputs!$B$24)^(1/4)-1)</f>
        <v>0.336571258528832</v>
      </c>
      <c r="G41" s="18" t="n">
        <f aca="false">IF(A41=MAX($A$7:$A$46),1,IF(A41&lt;Inputs!$B$25,0,MIN(1,Inputs!$B$26+Inputs!$B$27*(A41-Inputs!$B$25))))</f>
        <v>0.31</v>
      </c>
      <c r="H41" s="33" t="n">
        <f aca="false">G41*(D41+E41+F41)</f>
        <v>2.57405069022014</v>
      </c>
      <c r="I41" s="33" t="n">
        <f aca="false">D41+E41+F41-H41</f>
        <v>5.72933863307064</v>
      </c>
      <c r="J41" s="33" t="n">
        <f aca="false">IF(C41=1,Inputs!$B$20*Inputs!$B$13/4,Inputs!$B$21*D41/4)</f>
        <v>0.0298755677428573</v>
      </c>
      <c r="K41" s="33" t="n">
        <f aca="false">Inputs!$B$22*Inputs!$B$13/4</f>
        <v>0.0375</v>
      </c>
      <c r="L41" s="33" t="n">
        <f aca="false">IF(C41=1,MIN(E41+J41+K41,Inputs!$B$13-P40),0)</f>
        <v>0</v>
      </c>
      <c r="M41" s="33" t="n">
        <f aca="false">MAX(0,IF(C41=1,H41,H41-J41-K41)-AH41-AI41+AK41)</f>
        <v>2.50667512247729</v>
      </c>
      <c r="N41" s="33" t="n">
        <f aca="false">MAX(0,Inputs!$B$23*MAX(0,Q41-P41)-R40)</f>
        <v>0.501335024495456</v>
      </c>
      <c r="O41" s="33" t="n">
        <f aca="false">M41-N41</f>
        <v>2.00534009798183</v>
      </c>
      <c r="P41" s="33" t="n">
        <f aca="false">P40+L41</f>
        <v>95.75</v>
      </c>
      <c r="Q41" s="33" t="n">
        <f aca="false">Q40+M41</f>
        <v>149.13464433199</v>
      </c>
      <c r="R41" s="33" t="n">
        <f aca="false">R40+N41</f>
        <v>10.676928866398</v>
      </c>
      <c r="S41" s="33" t="n">
        <f aca="false">MAX(0,Inputs!$B$23*MAX(0,Q41+I41-AJ41-P41)-R41)</f>
        <v>1.14586772661413</v>
      </c>
      <c r="T41" s="33" t="n">
        <f aca="false">I41-AJ41-S41</f>
        <v>4.58347090645651</v>
      </c>
      <c r="U41" s="33" t="n">
        <f aca="false">U40+O41</f>
        <v>138.457715465592</v>
      </c>
      <c r="V41" s="34" t="n">
        <f aca="false">IF(P41&gt;0,U41/P41,0)</f>
        <v>1.44603358188608</v>
      </c>
      <c r="W41" s="34" t="n">
        <f aca="false">IF(P41&gt;0,T41/P41,0)</f>
        <v>0.0478691478481098</v>
      </c>
      <c r="X41" s="34" t="n">
        <f aca="false">V41+W41</f>
        <v>1.49390272973419</v>
      </c>
      <c r="Y41" s="33" t="n">
        <f aca="false">-L41+O41</f>
        <v>2.00534009798183</v>
      </c>
      <c r="Z41" s="33" t="n">
        <f aca="false">IF(B41&lt;Inputs!$B$31,Y41,IF(B41=Inputs!$B$31,Y41+T41,0))</f>
        <v>0</v>
      </c>
      <c r="AA41" s="33" t="n">
        <f aca="false">-E41+H41</f>
        <v>2.57405069022014</v>
      </c>
      <c r="AB41" s="33" t="n">
        <f aca="false">IF(B41&lt;Inputs!$B$31,AA41,IF(B41=Inputs!$B$31,AA41+I41,0))</f>
        <v>0</v>
      </c>
      <c r="AC41" s="33" t="n">
        <f aca="false">Inputs!$B$13-P41</f>
        <v>4.25000000000003</v>
      </c>
      <c r="AD41" s="33" t="n">
        <f aca="false">N41+S41-S40</f>
        <v>0.0538391381571959</v>
      </c>
      <c r="AE41" s="33" t="n">
        <f aca="false">AJ40</f>
        <v>0</v>
      </c>
      <c r="AF41" s="33" t="n">
        <f aca="false">IF(AND(Inputs!$B$35=1,A41=Inputs!$B$36),MIN(Inputs!$B$37*I41,Inputs!$B$38),0)</f>
        <v>0</v>
      </c>
      <c r="AG41" s="33" t="n">
        <f aca="false">Inputs!$B$40*AF41</f>
        <v>0</v>
      </c>
      <c r="AH41" s="33" t="n">
        <f aca="false">Inputs!$B$39/4*AE41</f>
        <v>0</v>
      </c>
      <c r="AI41" s="33" t="n">
        <f aca="false">IF(A41=MAX($A$7:$A$46),AE41,MIN(AE41,Inputs!$B$41*MAX(0,IF(C41=1,H41,H41-J41-K41)-AH41)))</f>
        <v>0</v>
      </c>
      <c r="AJ41" s="33" t="n">
        <f aca="false">AE41+AF41-AI41</f>
        <v>0</v>
      </c>
      <c r="AK41" s="33" t="n">
        <f aca="false">AF41-AG41</f>
        <v>0</v>
      </c>
      <c r="AL41" s="18" t="n">
        <f aca="false">IF(I41&gt;0,AJ41/I41,0)</f>
        <v>0</v>
      </c>
      <c r="AM41" s="33" t="n">
        <f aca="false">IF(C41=1,H41,MAX(0,H41-J41-K41))</f>
        <v>2.50667512247729</v>
      </c>
      <c r="AN41" s="33" t="n">
        <f aca="false">AN40+AM41</f>
        <v>150.262635944803</v>
      </c>
      <c r="AO41" s="33" t="n">
        <f aca="false">MAX(0,Inputs!$B$23*MAX(0,AN41-P41)-AP40)</f>
        <v>0.501335024495456</v>
      </c>
      <c r="AP41" s="33" t="n">
        <f aca="false">AP40+AO41</f>
        <v>10.9025271889605</v>
      </c>
      <c r="AQ41" s="33" t="n">
        <f aca="false">AM41-AO41</f>
        <v>2.00534009798183</v>
      </c>
      <c r="AR41" s="33" t="n">
        <f aca="false">MAX(0,Inputs!$B$23*MAX(0,AN41+I41-P41)-AP41)</f>
        <v>1.14586772661413</v>
      </c>
      <c r="AS41" s="33" t="n">
        <f aca="false">I41-AR41</f>
        <v>4.58347090645651</v>
      </c>
      <c r="AT41" s="33" t="n">
        <f aca="false">AT40+AQ41</f>
        <v>139.360108755842</v>
      </c>
      <c r="AU41" s="33" t="n">
        <f aca="false">-L41+AQ41</f>
        <v>2.00534009798183</v>
      </c>
      <c r="AV41" s="33" t="n">
        <f aca="false">IF(B41&lt;Inputs!$B$31,AU41,IF(B41=Inputs!$B$31,AU41+AS41,0))</f>
        <v>0</v>
      </c>
      <c r="AW41" s="34" t="n">
        <f aca="false">IF(P41&gt;0,(AT41+AS41)/P41,0)</f>
        <v>1.50332720273941</v>
      </c>
    </row>
    <row r="42" customFormat="false" ht="15" hidden="false" customHeight="false" outlineLevel="0" collapsed="false">
      <c r="A42" s="30" t="n">
        <f aca="false">A41+1</f>
        <v>36</v>
      </c>
      <c r="B42" s="31" t="n">
        <f aca="false">EOMONTH(Inputs!$B$17,3*(A42-1))</f>
        <v>48213</v>
      </c>
      <c r="C42" s="30" t="n">
        <f aca="false">IF(A42&lt;=Inputs!$B$18,1,0)</f>
        <v>0</v>
      </c>
      <c r="D42" s="33" t="n">
        <f aca="false">I41</f>
        <v>5.72933863307064</v>
      </c>
      <c r="E42" s="33" t="n">
        <f aca="false">IF(C42=1,Inputs!$B$19*Inputs!$B$13/Inputs!$B$18,0)</f>
        <v>0</v>
      </c>
      <c r="F42" s="33" t="n">
        <f aca="false">D42*((1+Inputs!$B$24)^(1/4)-1)</f>
        <v>0.242045280637153</v>
      </c>
      <c r="G42" s="18" t="n">
        <f aca="false">IF(A42=MAX($A$7:$A$46),1,IF(A42&lt;Inputs!$B$25,0,MIN(1,Inputs!$B$26+Inputs!$B$27*(A42-Inputs!$B$25))))</f>
        <v>0.325</v>
      </c>
      <c r="H42" s="33" t="n">
        <f aca="false">G42*(D42+E42+F42)</f>
        <v>1.94069977195503</v>
      </c>
      <c r="I42" s="33" t="n">
        <f aca="false">D42+E42+F42-H42</f>
        <v>4.03068414175276</v>
      </c>
      <c r="J42" s="33" t="n">
        <f aca="false">IF(C42=1,Inputs!$B$20*Inputs!$B$13/4,Inputs!$B$21*D42/4)</f>
        <v>0.0214850198740149</v>
      </c>
      <c r="K42" s="33" t="n">
        <f aca="false">Inputs!$B$22*Inputs!$B$13/4</f>
        <v>0.0375</v>
      </c>
      <c r="L42" s="33" t="n">
        <f aca="false">IF(C42=1,MIN(E42+J42+K42,Inputs!$B$13-P41),0)</f>
        <v>0</v>
      </c>
      <c r="M42" s="33" t="n">
        <f aca="false">MAX(0,IF(C42=1,H42,H42-J42-K42)-AH42-AI42+AK42)</f>
        <v>1.88171475208102</v>
      </c>
      <c r="N42" s="33" t="n">
        <f aca="false">MAX(0,Inputs!$B$23*MAX(0,Q42-P42)-R41)</f>
        <v>0.376342950416204</v>
      </c>
      <c r="O42" s="33" t="n">
        <f aca="false">M42-N42</f>
        <v>1.50537180166481</v>
      </c>
      <c r="P42" s="33" t="n">
        <f aca="false">P41+L42</f>
        <v>95.75</v>
      </c>
      <c r="Q42" s="33" t="n">
        <f aca="false">Q41+M42</f>
        <v>151.016359084071</v>
      </c>
      <c r="R42" s="33" t="n">
        <f aca="false">R41+N42</f>
        <v>11.0532718168142</v>
      </c>
      <c r="S42" s="33" t="n">
        <f aca="false">MAX(0,Inputs!$B$23*MAX(0,Q42+I42-AJ42-P42)-R42)</f>
        <v>0.806136828350555</v>
      </c>
      <c r="T42" s="33" t="n">
        <f aca="false">I42-AJ42-S42</f>
        <v>3.22454731340221</v>
      </c>
      <c r="U42" s="33" t="n">
        <f aca="false">U41+O42</f>
        <v>139.963087267257</v>
      </c>
      <c r="V42" s="34" t="n">
        <f aca="false">IF(P42&gt;0,U42/P42,0)</f>
        <v>1.46175548059798</v>
      </c>
      <c r="W42" s="34" t="n">
        <f aca="false">IF(P42&gt;0,T42/P42,0)</f>
        <v>0.0336767343436262</v>
      </c>
      <c r="X42" s="34" t="n">
        <f aca="false">V42+W42</f>
        <v>1.49543221494161</v>
      </c>
      <c r="Y42" s="33" t="n">
        <f aca="false">-L42+O42</f>
        <v>1.50537180166481</v>
      </c>
      <c r="Z42" s="33" t="n">
        <f aca="false">IF(B42&lt;Inputs!$B$31,Y42,IF(B42=Inputs!$B$31,Y42+T42,0))</f>
        <v>0</v>
      </c>
      <c r="AA42" s="33" t="n">
        <f aca="false">-E42+H42</f>
        <v>1.94069977195503</v>
      </c>
      <c r="AB42" s="33" t="n">
        <f aca="false">IF(B42&lt;Inputs!$B$31,AA42,IF(B42=Inputs!$B$31,AA42+I42,0))</f>
        <v>0</v>
      </c>
      <c r="AC42" s="33" t="n">
        <f aca="false">Inputs!$B$13-P42</f>
        <v>4.25000000000003</v>
      </c>
      <c r="AD42" s="33" t="n">
        <f aca="false">N42+S42-S41</f>
        <v>0.0366120521526288</v>
      </c>
      <c r="AE42" s="33" t="n">
        <f aca="false">AJ41</f>
        <v>0</v>
      </c>
      <c r="AF42" s="33" t="n">
        <f aca="false">IF(AND(Inputs!$B$35=1,A42=Inputs!$B$36),MIN(Inputs!$B$37*I42,Inputs!$B$38),0)</f>
        <v>0</v>
      </c>
      <c r="AG42" s="33" t="n">
        <f aca="false">Inputs!$B$40*AF42</f>
        <v>0</v>
      </c>
      <c r="AH42" s="33" t="n">
        <f aca="false">Inputs!$B$39/4*AE42</f>
        <v>0</v>
      </c>
      <c r="AI42" s="33" t="n">
        <f aca="false">IF(A42=MAX($A$7:$A$46),AE42,MIN(AE42,Inputs!$B$41*MAX(0,IF(C42=1,H42,H42-J42-K42)-AH42)))</f>
        <v>0</v>
      </c>
      <c r="AJ42" s="33" t="n">
        <f aca="false">AE42+AF42-AI42</f>
        <v>0</v>
      </c>
      <c r="AK42" s="33" t="n">
        <f aca="false">AF42-AG42</f>
        <v>0</v>
      </c>
      <c r="AL42" s="18" t="n">
        <f aca="false">IF(I42&gt;0,AJ42/I42,0)</f>
        <v>0</v>
      </c>
      <c r="AM42" s="33" t="n">
        <f aca="false">IF(C42=1,H42,MAX(0,H42-J42-K42))</f>
        <v>1.88171475208102</v>
      </c>
      <c r="AN42" s="33" t="n">
        <f aca="false">AN41+AM42</f>
        <v>152.144350696884</v>
      </c>
      <c r="AO42" s="33" t="n">
        <f aca="false">MAX(0,Inputs!$B$23*MAX(0,AN42-P42)-AP41)</f>
        <v>0.376342950416205</v>
      </c>
      <c r="AP42" s="33" t="n">
        <f aca="false">AP41+AO42</f>
        <v>11.2788701393767</v>
      </c>
      <c r="AQ42" s="33" t="n">
        <f aca="false">AM42-AO42</f>
        <v>1.50537180166481</v>
      </c>
      <c r="AR42" s="33" t="n">
        <f aca="false">MAX(0,Inputs!$B$23*MAX(0,AN42+I42-P42)-AP42)</f>
        <v>0.806136828350555</v>
      </c>
      <c r="AS42" s="33" t="n">
        <f aca="false">I42-AR42</f>
        <v>3.22454731340221</v>
      </c>
      <c r="AT42" s="33" t="n">
        <f aca="false">AT41+AQ42</f>
        <v>140.865480557507</v>
      </c>
      <c r="AU42" s="33" t="n">
        <f aca="false">-L42+AQ42</f>
        <v>1.50537180166481</v>
      </c>
      <c r="AV42" s="33" t="n">
        <f aca="false">IF(B42&lt;Inputs!$B$31,AU42,IF(B42=Inputs!$B$31,AU42+AS42,0))</f>
        <v>0</v>
      </c>
      <c r="AW42" s="34" t="n">
        <f aca="false">IF(P42&gt;0,(AT42+AS42)/P42,0)</f>
        <v>1.50485668794683</v>
      </c>
    </row>
    <row r="43" customFormat="false" ht="15" hidden="false" customHeight="false" outlineLevel="0" collapsed="false">
      <c r="A43" s="30" t="n">
        <f aca="false">A42+1</f>
        <v>37</v>
      </c>
      <c r="B43" s="31" t="n">
        <f aca="false">EOMONTH(Inputs!$B$17,3*(A43-1))</f>
        <v>48304</v>
      </c>
      <c r="C43" s="30" t="n">
        <f aca="false">IF(A43&lt;=Inputs!$B$18,1,0)</f>
        <v>0</v>
      </c>
      <c r="D43" s="33" t="n">
        <f aca="false">I42</f>
        <v>4.03068414175276</v>
      </c>
      <c r="E43" s="33" t="n">
        <f aca="false">IF(C43=1,Inputs!$B$19*Inputs!$B$13/Inputs!$B$18,0)</f>
        <v>0</v>
      </c>
      <c r="F43" s="33" t="n">
        <f aca="false">D43*((1+Inputs!$B$24)^(1/4)-1)</f>
        <v>0.170282843576204</v>
      </c>
      <c r="G43" s="18" t="n">
        <f aca="false">IF(A43=MAX($A$7:$A$46),1,IF(A43&lt;Inputs!$B$25,0,MIN(1,Inputs!$B$26+Inputs!$B$27*(A43-Inputs!$B$25))))</f>
        <v>0.34</v>
      </c>
      <c r="H43" s="33" t="n">
        <f aca="false">G43*(D43+E43+F43)</f>
        <v>1.42832877501185</v>
      </c>
      <c r="I43" s="33" t="n">
        <f aca="false">D43+E43+F43-H43</f>
        <v>2.77263821031712</v>
      </c>
      <c r="J43" s="33" t="n">
        <f aca="false">IF(C43=1,Inputs!$B$20*Inputs!$B$13/4,Inputs!$B$21*D43/4)</f>
        <v>0.0151150655315729</v>
      </c>
      <c r="K43" s="33" t="n">
        <f aca="false">Inputs!$B$22*Inputs!$B$13/4</f>
        <v>0.0375</v>
      </c>
      <c r="L43" s="33" t="n">
        <f aca="false">IF(C43=1,MIN(E43+J43+K43,Inputs!$B$13-P42),0)</f>
        <v>0</v>
      </c>
      <c r="M43" s="33" t="n">
        <f aca="false">MAX(0,IF(C43=1,H43,H43-J43-K43)-AH43-AI43+AK43)</f>
        <v>1.37571370948028</v>
      </c>
      <c r="N43" s="33" t="n">
        <f aca="false">MAX(0,Inputs!$B$23*MAX(0,Q43-P43)-R42)</f>
        <v>0.275142741896053</v>
      </c>
      <c r="O43" s="33" t="n">
        <f aca="false">M43-N43</f>
        <v>1.10057096758422</v>
      </c>
      <c r="P43" s="33" t="n">
        <f aca="false">P42+L43</f>
        <v>95.75</v>
      </c>
      <c r="Q43" s="33" t="n">
        <f aca="false">Q42+M43</f>
        <v>152.392072793551</v>
      </c>
      <c r="R43" s="33" t="n">
        <f aca="false">R42+N43</f>
        <v>11.3284145587102</v>
      </c>
      <c r="S43" s="33" t="n">
        <f aca="false">MAX(0,Inputs!$B$23*MAX(0,Q43+I43-AJ43-P43)-R43)</f>
        <v>0.554527642063427</v>
      </c>
      <c r="T43" s="33" t="n">
        <f aca="false">I43-AJ43-S43</f>
        <v>2.21811056825369</v>
      </c>
      <c r="U43" s="33" t="n">
        <f aca="false">U42+O43</f>
        <v>141.063658234841</v>
      </c>
      <c r="V43" s="34" t="n">
        <f aca="false">IF(P43&gt;0,U43/P43,0)</f>
        <v>1.47324969435865</v>
      </c>
      <c r="W43" s="34" t="n">
        <f aca="false">IF(P43&gt;0,T43/P43,0)</f>
        <v>0.0231656456214485</v>
      </c>
      <c r="X43" s="34" t="n">
        <f aca="false">V43+W43</f>
        <v>1.4964153399801</v>
      </c>
      <c r="Y43" s="33" t="n">
        <f aca="false">-L43+O43</f>
        <v>1.10057096758422</v>
      </c>
      <c r="Z43" s="33" t="n">
        <f aca="false">IF(B43&lt;Inputs!$B$31,Y43,IF(B43=Inputs!$B$31,Y43+T43,0))</f>
        <v>0</v>
      </c>
      <c r="AA43" s="33" t="n">
        <f aca="false">-E43+H43</f>
        <v>1.42832877501185</v>
      </c>
      <c r="AB43" s="33" t="n">
        <f aca="false">IF(B43&lt;Inputs!$B$31,AA43,IF(B43=Inputs!$B$31,AA43+I43,0))</f>
        <v>0</v>
      </c>
      <c r="AC43" s="33" t="n">
        <f aca="false">Inputs!$B$13-P43</f>
        <v>4.25000000000003</v>
      </c>
      <c r="AD43" s="33" t="n">
        <f aca="false">N43+S43-S42</f>
        <v>0.0235335556089247</v>
      </c>
      <c r="AE43" s="33" t="n">
        <f aca="false">AJ42</f>
        <v>0</v>
      </c>
      <c r="AF43" s="33" t="n">
        <f aca="false">IF(AND(Inputs!$B$35=1,A43=Inputs!$B$36),MIN(Inputs!$B$37*I43,Inputs!$B$38),0)</f>
        <v>0</v>
      </c>
      <c r="AG43" s="33" t="n">
        <f aca="false">Inputs!$B$40*AF43</f>
        <v>0</v>
      </c>
      <c r="AH43" s="33" t="n">
        <f aca="false">Inputs!$B$39/4*AE43</f>
        <v>0</v>
      </c>
      <c r="AI43" s="33" t="n">
        <f aca="false">IF(A43=MAX($A$7:$A$46),AE43,MIN(AE43,Inputs!$B$41*MAX(0,IF(C43=1,H43,H43-J43-K43)-AH43)))</f>
        <v>0</v>
      </c>
      <c r="AJ43" s="33" t="n">
        <f aca="false">AE43+AF43-AI43</f>
        <v>0</v>
      </c>
      <c r="AK43" s="33" t="n">
        <f aca="false">AF43-AG43</f>
        <v>0</v>
      </c>
      <c r="AL43" s="18" t="n">
        <f aca="false">IF(I43&gt;0,AJ43/I43,0)</f>
        <v>0</v>
      </c>
      <c r="AM43" s="33" t="n">
        <f aca="false">IF(C43=1,H43,MAX(0,H43-J43-K43))</f>
        <v>1.37571370948028</v>
      </c>
      <c r="AN43" s="33" t="n">
        <f aca="false">AN42+AM43</f>
        <v>153.520064406364</v>
      </c>
      <c r="AO43" s="33" t="n">
        <f aca="false">MAX(0,Inputs!$B$23*MAX(0,AN43-P43)-AP42)</f>
        <v>0.275142741896053</v>
      </c>
      <c r="AP43" s="33" t="n">
        <f aca="false">AP42+AO43</f>
        <v>11.5540128812728</v>
      </c>
      <c r="AQ43" s="33" t="n">
        <f aca="false">AM43-AO43</f>
        <v>1.10057096758422</v>
      </c>
      <c r="AR43" s="33" t="n">
        <f aca="false">MAX(0,Inputs!$B$23*MAX(0,AN43+I43-P43)-AP43)</f>
        <v>0.554527642063425</v>
      </c>
      <c r="AS43" s="33" t="n">
        <f aca="false">I43-AR43</f>
        <v>2.21811056825369</v>
      </c>
      <c r="AT43" s="33" t="n">
        <f aca="false">AT42+AQ43</f>
        <v>141.966051525091</v>
      </c>
      <c r="AU43" s="33" t="n">
        <f aca="false">-L43+AQ43</f>
        <v>1.10057096758422</v>
      </c>
      <c r="AV43" s="33" t="n">
        <f aca="false">IF(B43&lt;Inputs!$B$31,AU43,IF(B43=Inputs!$B$31,AU43+AS43,0))</f>
        <v>0</v>
      </c>
      <c r="AW43" s="34" t="n">
        <f aca="false">IF(P43&gt;0,(AT43+AS43)/P43,0)</f>
        <v>1.50583981298532</v>
      </c>
    </row>
    <row r="44" customFormat="false" ht="15" hidden="false" customHeight="false" outlineLevel="0" collapsed="false">
      <c r="A44" s="30" t="n">
        <f aca="false">A43+1</f>
        <v>38</v>
      </c>
      <c r="B44" s="31" t="n">
        <f aca="false">EOMONTH(Inputs!$B$17,3*(A44-1))</f>
        <v>48395</v>
      </c>
      <c r="C44" s="30" t="n">
        <f aca="false">IF(A44&lt;=Inputs!$B$18,1,0)</f>
        <v>0</v>
      </c>
      <c r="D44" s="33" t="n">
        <f aca="false">I43</f>
        <v>2.77263821031712</v>
      </c>
      <c r="E44" s="33" t="n">
        <f aca="false">IF(C44=1,Inputs!$B$19*Inputs!$B$13/Inputs!$B$18,0)</f>
        <v>0</v>
      </c>
      <c r="F44" s="33" t="n">
        <f aca="false">D44*((1+Inputs!$B$24)^(1/4)-1)</f>
        <v>0.117134635723534</v>
      </c>
      <c r="G44" s="18" t="n">
        <f aca="false">IF(A44=MAX($A$7:$A$46),1,IF(A44&lt;Inputs!$B$25,0,MIN(1,Inputs!$B$26+Inputs!$B$27*(A44-Inputs!$B$25))))</f>
        <v>0.355</v>
      </c>
      <c r="H44" s="33" t="n">
        <f aca="false">G44*(D44+E44+F44)</f>
        <v>1.02586936034443</v>
      </c>
      <c r="I44" s="33" t="n">
        <f aca="false">D44+E44+F44-H44</f>
        <v>1.86390348569622</v>
      </c>
      <c r="J44" s="33" t="n">
        <f aca="false">IF(C44=1,Inputs!$B$20*Inputs!$B$13/4,Inputs!$B$21*D44/4)</f>
        <v>0.0103973932886892</v>
      </c>
      <c r="K44" s="33" t="n">
        <f aca="false">Inputs!$B$22*Inputs!$B$13/4</f>
        <v>0.0375</v>
      </c>
      <c r="L44" s="33" t="n">
        <f aca="false">IF(C44=1,MIN(E44+J44+K44,Inputs!$B$13-P43),0)</f>
        <v>0</v>
      </c>
      <c r="M44" s="33" t="n">
        <f aca="false">MAX(0,IF(C44=1,H44,H44-J44-K44)-AH44-AI44+AK44)</f>
        <v>0.977971967055742</v>
      </c>
      <c r="N44" s="33" t="n">
        <f aca="false">MAX(0,Inputs!$B$23*MAX(0,Q44-P44)-R43)</f>
        <v>0.195594393411149</v>
      </c>
      <c r="O44" s="33" t="n">
        <f aca="false">M44-N44</f>
        <v>0.782377573644593</v>
      </c>
      <c r="P44" s="33" t="n">
        <f aca="false">P43+L44</f>
        <v>95.75</v>
      </c>
      <c r="Q44" s="33" t="n">
        <f aca="false">Q43+M44</f>
        <v>153.370044760607</v>
      </c>
      <c r="R44" s="33" t="n">
        <f aca="false">R43+N44</f>
        <v>11.5240089521214</v>
      </c>
      <c r="S44" s="33" t="n">
        <f aca="false">MAX(0,Inputs!$B$23*MAX(0,Q44+I44-AJ44-P44)-R44)</f>
        <v>0.372780697139245</v>
      </c>
      <c r="T44" s="33" t="n">
        <f aca="false">I44-AJ44-S44</f>
        <v>1.49112278855698</v>
      </c>
      <c r="U44" s="33" t="n">
        <f aca="false">U43+O44</f>
        <v>141.846035808485</v>
      </c>
      <c r="V44" s="34" t="n">
        <f aca="false">IF(P44&gt;0,U44/P44,0)</f>
        <v>1.48142073951421</v>
      </c>
      <c r="W44" s="34" t="n">
        <f aca="false">IF(P44&gt;0,T44/P44,0)</f>
        <v>0.0155730839535977</v>
      </c>
      <c r="X44" s="34" t="n">
        <f aca="false">V44+W44</f>
        <v>1.49699382346781</v>
      </c>
      <c r="Y44" s="33" t="n">
        <f aca="false">-L44+O44</f>
        <v>0.782377573644593</v>
      </c>
      <c r="Z44" s="33" t="n">
        <f aca="false">IF(B44&lt;Inputs!$B$31,Y44,IF(B44=Inputs!$B$31,Y44+T44,0))</f>
        <v>0</v>
      </c>
      <c r="AA44" s="33" t="n">
        <f aca="false">-E44+H44</f>
        <v>1.02586936034443</v>
      </c>
      <c r="AB44" s="33" t="n">
        <f aca="false">IF(B44&lt;Inputs!$B$31,AA44,IF(B44=Inputs!$B$31,AA44+I44,0))</f>
        <v>0</v>
      </c>
      <c r="AC44" s="33" t="n">
        <f aca="false">Inputs!$B$13-P44</f>
        <v>4.25000000000003</v>
      </c>
      <c r="AD44" s="33" t="n">
        <f aca="false">N44+S44-S43</f>
        <v>0.0138474484869668</v>
      </c>
      <c r="AE44" s="33" t="n">
        <f aca="false">AJ43</f>
        <v>0</v>
      </c>
      <c r="AF44" s="33" t="n">
        <f aca="false">IF(AND(Inputs!$B$35=1,A44=Inputs!$B$36),MIN(Inputs!$B$37*I44,Inputs!$B$38),0)</f>
        <v>0</v>
      </c>
      <c r="AG44" s="33" t="n">
        <f aca="false">Inputs!$B$40*AF44</f>
        <v>0</v>
      </c>
      <c r="AH44" s="33" t="n">
        <f aca="false">Inputs!$B$39/4*AE44</f>
        <v>0</v>
      </c>
      <c r="AI44" s="33" t="n">
        <f aca="false">IF(A44=MAX($A$7:$A$46),AE44,MIN(AE44,Inputs!$B$41*MAX(0,IF(C44=1,H44,H44-J44-K44)-AH44)))</f>
        <v>0</v>
      </c>
      <c r="AJ44" s="33" t="n">
        <f aca="false">AE44+AF44-AI44</f>
        <v>0</v>
      </c>
      <c r="AK44" s="33" t="n">
        <f aca="false">AF44-AG44</f>
        <v>0</v>
      </c>
      <c r="AL44" s="18" t="n">
        <f aca="false">IF(I44&gt;0,AJ44/I44,0)</f>
        <v>0</v>
      </c>
      <c r="AM44" s="33" t="n">
        <f aca="false">IF(C44=1,H44,MAX(0,H44-J44-K44))</f>
        <v>0.977971967055742</v>
      </c>
      <c r="AN44" s="33" t="n">
        <f aca="false">AN43+AM44</f>
        <v>154.49803637342</v>
      </c>
      <c r="AO44" s="33" t="n">
        <f aca="false">MAX(0,Inputs!$B$23*MAX(0,AN44-P44)-AP43)</f>
        <v>0.195594393411147</v>
      </c>
      <c r="AP44" s="33" t="n">
        <f aca="false">AP43+AO44</f>
        <v>11.7496072746839</v>
      </c>
      <c r="AQ44" s="33" t="n">
        <f aca="false">AM44-AO44</f>
        <v>0.782377573644595</v>
      </c>
      <c r="AR44" s="33" t="n">
        <f aca="false">MAX(0,Inputs!$B$23*MAX(0,AN44+I44-P44)-AP44)</f>
        <v>0.372780697139246</v>
      </c>
      <c r="AS44" s="33" t="n">
        <f aca="false">I44-AR44</f>
        <v>1.49112278855697</v>
      </c>
      <c r="AT44" s="33" t="n">
        <f aca="false">AT43+AQ44</f>
        <v>142.748429098736</v>
      </c>
      <c r="AU44" s="33" t="n">
        <f aca="false">-L44+AQ44</f>
        <v>0.782377573644595</v>
      </c>
      <c r="AV44" s="33" t="n">
        <f aca="false">IF(B44&lt;Inputs!$B$31,AU44,IF(B44=Inputs!$B$31,AU44+AS44,0))</f>
        <v>0</v>
      </c>
      <c r="AW44" s="34" t="n">
        <f aca="false">IF(P44&gt;0,(AT44+AS44)/P44,0)</f>
        <v>1.50641829647303</v>
      </c>
    </row>
    <row r="45" customFormat="false" ht="15" hidden="false" customHeight="false" outlineLevel="0" collapsed="false">
      <c r="A45" s="30" t="n">
        <f aca="false">A44+1</f>
        <v>39</v>
      </c>
      <c r="B45" s="31" t="n">
        <f aca="false">EOMONTH(Inputs!$B$17,3*(A45-1))</f>
        <v>48487</v>
      </c>
      <c r="C45" s="30" t="n">
        <f aca="false">IF(A45&lt;=Inputs!$B$18,1,0)</f>
        <v>0</v>
      </c>
      <c r="D45" s="33" t="n">
        <f aca="false">I44</f>
        <v>1.86390348569622</v>
      </c>
      <c r="E45" s="33" t="n">
        <f aca="false">IF(C45=1,Inputs!$B$19*Inputs!$B$13/Inputs!$B$18,0)</f>
        <v>0</v>
      </c>
      <c r="F45" s="33" t="n">
        <f aca="false">D45*((1+Inputs!$B$24)^(1/4)-1)</f>
        <v>0.0787436510859745</v>
      </c>
      <c r="G45" s="18" t="n">
        <f aca="false">IF(A45=MAX($A$7:$A$46),1,IF(A45&lt;Inputs!$B$25,0,MIN(1,Inputs!$B$26+Inputs!$B$27*(A45-Inputs!$B$25))))</f>
        <v>0.37</v>
      </c>
      <c r="H45" s="33" t="n">
        <f aca="false">G45*(D45+E45+F45)</f>
        <v>0.718779440609412</v>
      </c>
      <c r="I45" s="33" t="n">
        <f aca="false">D45+E45+F45-H45</f>
        <v>1.22386769617278</v>
      </c>
      <c r="J45" s="33" t="n">
        <f aca="false">IF(C45=1,Inputs!$B$20*Inputs!$B$13/4,Inputs!$B$21*D45/4)</f>
        <v>0.00698963807136083</v>
      </c>
      <c r="K45" s="33" t="n">
        <f aca="false">Inputs!$B$22*Inputs!$B$13/4</f>
        <v>0.0375</v>
      </c>
      <c r="L45" s="33" t="n">
        <f aca="false">IF(C45=1,MIN(E45+J45+K45,Inputs!$B$13-P44),0)</f>
        <v>0</v>
      </c>
      <c r="M45" s="33" t="n">
        <f aca="false">MAX(0,IF(C45=1,H45,H45-J45-K45)-AH45-AI45+AK45)</f>
        <v>0.674289802538051</v>
      </c>
      <c r="N45" s="33" t="n">
        <f aca="false">MAX(0,Inputs!$B$23*MAX(0,Q45-P45)-R44)</f>
        <v>0.13485796050761</v>
      </c>
      <c r="O45" s="33" t="n">
        <f aca="false">M45-N45</f>
        <v>0.539431842030442</v>
      </c>
      <c r="P45" s="33" t="n">
        <f aca="false">P44+L45</f>
        <v>95.75</v>
      </c>
      <c r="Q45" s="33" t="n">
        <f aca="false">Q44+M45</f>
        <v>154.044334563145</v>
      </c>
      <c r="R45" s="33" t="n">
        <f aca="false">R44+N45</f>
        <v>11.658866912629</v>
      </c>
      <c r="S45" s="33" t="n">
        <f aca="false">MAX(0,Inputs!$B$23*MAX(0,Q45+I45-AJ45-P45)-R45)</f>
        <v>0.244773539234558</v>
      </c>
      <c r="T45" s="33" t="n">
        <f aca="false">I45-AJ45-S45</f>
        <v>0.979094156938225</v>
      </c>
      <c r="U45" s="33" t="n">
        <f aca="false">U44+O45</f>
        <v>142.385467650516</v>
      </c>
      <c r="V45" s="34" t="n">
        <f aca="false">IF(P45&gt;0,U45/P45,0)</f>
        <v>1.48705449243359</v>
      </c>
      <c r="W45" s="34" t="n">
        <f aca="false">IF(P45&gt;0,T45/P45,0)</f>
        <v>0.0102255264432191</v>
      </c>
      <c r="X45" s="34" t="n">
        <f aca="false">V45+W45</f>
        <v>1.49728001887681</v>
      </c>
      <c r="Y45" s="33" t="n">
        <f aca="false">-L45+O45</f>
        <v>0.539431842030442</v>
      </c>
      <c r="Z45" s="33" t="n">
        <f aca="false">IF(B45&lt;Inputs!$B$31,Y45,IF(B45=Inputs!$B$31,Y45+T45,0))</f>
        <v>0</v>
      </c>
      <c r="AA45" s="33" t="n">
        <f aca="false">-E45+H45</f>
        <v>0.718779440609412</v>
      </c>
      <c r="AB45" s="33" t="n">
        <f aca="false">IF(B45&lt;Inputs!$B$31,AA45,IF(B45=Inputs!$B$31,AA45+I45,0))</f>
        <v>0</v>
      </c>
      <c r="AC45" s="33" t="n">
        <f aca="false">Inputs!$B$13-P45</f>
        <v>4.25000000000003</v>
      </c>
      <c r="AD45" s="33" t="n">
        <f aca="false">N45+S45-S44</f>
        <v>0.00685080260292281</v>
      </c>
      <c r="AE45" s="33" t="n">
        <f aca="false">AJ44</f>
        <v>0</v>
      </c>
      <c r="AF45" s="33" t="n">
        <f aca="false">IF(AND(Inputs!$B$35=1,A45=Inputs!$B$36),MIN(Inputs!$B$37*I45,Inputs!$B$38),0)</f>
        <v>0</v>
      </c>
      <c r="AG45" s="33" t="n">
        <f aca="false">Inputs!$B$40*AF45</f>
        <v>0</v>
      </c>
      <c r="AH45" s="33" t="n">
        <f aca="false">Inputs!$B$39/4*AE45</f>
        <v>0</v>
      </c>
      <c r="AI45" s="33" t="n">
        <f aca="false">IF(A45=MAX($A$7:$A$46),AE45,MIN(AE45,Inputs!$B$41*MAX(0,IF(C45=1,H45,H45-J45-K45)-AH45)))</f>
        <v>0</v>
      </c>
      <c r="AJ45" s="33" t="n">
        <f aca="false">AE45+AF45-AI45</f>
        <v>0</v>
      </c>
      <c r="AK45" s="33" t="n">
        <f aca="false">AF45-AG45</f>
        <v>0</v>
      </c>
      <c r="AL45" s="18" t="n">
        <f aca="false">IF(I45&gt;0,AJ45/I45,0)</f>
        <v>0</v>
      </c>
      <c r="AM45" s="33" t="n">
        <f aca="false">IF(C45=1,H45,MAX(0,H45-J45-K45))</f>
        <v>0.674289802538051</v>
      </c>
      <c r="AN45" s="33" t="n">
        <f aca="false">AN44+AM45</f>
        <v>155.172326175958</v>
      </c>
      <c r="AO45" s="33" t="n">
        <f aca="false">MAX(0,Inputs!$B$23*MAX(0,AN45-P45)-AP44)</f>
        <v>0.134857960507611</v>
      </c>
      <c r="AP45" s="33" t="n">
        <f aca="false">AP44+AO45</f>
        <v>11.8844652351915</v>
      </c>
      <c r="AQ45" s="33" t="n">
        <f aca="false">AM45-AO45</f>
        <v>0.53943184203044</v>
      </c>
      <c r="AR45" s="33" t="n">
        <f aca="false">MAX(0,Inputs!$B$23*MAX(0,AN45+I45-P45)-AP45)</f>
        <v>0.244773539234558</v>
      </c>
      <c r="AS45" s="33" t="n">
        <f aca="false">I45-AR45</f>
        <v>0.979094156938225</v>
      </c>
      <c r="AT45" s="33" t="n">
        <f aca="false">AT44+AQ45</f>
        <v>143.287860940766</v>
      </c>
      <c r="AU45" s="33" t="n">
        <f aca="false">-L45+AQ45</f>
        <v>0.53943184203044</v>
      </c>
      <c r="AV45" s="33" t="n">
        <f aca="false">IF(B45&lt;Inputs!$B$31,AU45,IF(B45=Inputs!$B$31,AU45+AS45,0))</f>
        <v>0</v>
      </c>
      <c r="AW45" s="34" t="n">
        <f aca="false">IF(P45&gt;0,(AT45+AS45)/P45,0)</f>
        <v>1.50670449188203</v>
      </c>
    </row>
    <row r="46" customFormat="false" ht="15" hidden="false" customHeight="false" outlineLevel="0" collapsed="false">
      <c r="A46" s="30" t="n">
        <f aca="false">A45+1</f>
        <v>40</v>
      </c>
      <c r="B46" s="31" t="n">
        <f aca="false">EOMONTH(Inputs!$B$17,3*(A46-1))</f>
        <v>48579</v>
      </c>
      <c r="C46" s="30" t="n">
        <f aca="false">IF(A46&lt;=Inputs!$B$18,1,0)</f>
        <v>0</v>
      </c>
      <c r="D46" s="33" t="n">
        <f aca="false">I45</f>
        <v>1.22386769617278</v>
      </c>
      <c r="E46" s="33" t="n">
        <f aca="false">IF(C46=1,Inputs!$B$19*Inputs!$B$13/Inputs!$B$18,0)</f>
        <v>0</v>
      </c>
      <c r="F46" s="33" t="n">
        <f aca="false">D46*((1+Inputs!$B$24)^(1/4)-1)</f>
        <v>0.0517042924069791</v>
      </c>
      <c r="G46" s="18" t="n">
        <f aca="false">IF(A46=MAX($A$7:$A$46),1,IF(A46&lt;Inputs!$B$25,0,MIN(1,Inputs!$B$26+Inputs!$B$27*(A46-Inputs!$B$25))))</f>
        <v>1</v>
      </c>
      <c r="H46" s="33" t="n">
        <f aca="false">G46*(D46+E46+F46)</f>
        <v>1.27557198857976</v>
      </c>
      <c r="I46" s="33" t="n">
        <f aca="false">D46+E46+F46-H46</f>
        <v>0</v>
      </c>
      <c r="J46" s="33" t="n">
        <f aca="false">IF(C46=1,Inputs!$B$20*Inputs!$B$13/4,Inputs!$B$21*D46/4)</f>
        <v>0.00458950386064794</v>
      </c>
      <c r="K46" s="33" t="n">
        <f aca="false">Inputs!$B$22*Inputs!$B$13/4</f>
        <v>0.0375</v>
      </c>
      <c r="L46" s="33" t="n">
        <f aca="false">IF(C46=1,MIN(E46+J46+K46,Inputs!$B$13-P45),0)</f>
        <v>0</v>
      </c>
      <c r="M46" s="33" t="n">
        <f aca="false">MAX(0,IF(C46=1,H46,H46-J46-K46)-AH46-AI46+AK46)</f>
        <v>1.23348248471911</v>
      </c>
      <c r="N46" s="33" t="n">
        <f aca="false">MAX(0,Inputs!$B$23*MAX(0,Q46-P46)-R45)</f>
        <v>0.246696496943821</v>
      </c>
      <c r="O46" s="33" t="n">
        <f aca="false">M46-N46</f>
        <v>0.986785987775293</v>
      </c>
      <c r="P46" s="33" t="n">
        <f aca="false">P45+L46</f>
        <v>95.75</v>
      </c>
      <c r="Q46" s="33" t="n">
        <f aca="false">Q45+M46</f>
        <v>155.277817047864</v>
      </c>
      <c r="R46" s="33" t="n">
        <f aca="false">R45+N46</f>
        <v>11.9055634095728</v>
      </c>
      <c r="S46" s="33" t="n">
        <f aca="false">MAX(0,Inputs!$B$23*MAX(0,Q46+I46-AJ46-P46)-R46)</f>
        <v>0</v>
      </c>
      <c r="T46" s="33" t="n">
        <f aca="false">I46-AJ46-S46</f>
        <v>0</v>
      </c>
      <c r="U46" s="33" t="n">
        <f aca="false">U45+O46</f>
        <v>143.372253638291</v>
      </c>
      <c r="V46" s="34" t="n">
        <f aca="false">IF(P46&gt;0,U46/P46,0)</f>
        <v>1.49736035131375</v>
      </c>
      <c r="W46" s="34" t="n">
        <f aca="false">IF(P46&gt;0,T46/P46,0)</f>
        <v>0</v>
      </c>
      <c r="X46" s="34" t="n">
        <f aca="false">V46+W46</f>
        <v>1.49736035131375</v>
      </c>
      <c r="Y46" s="33" t="n">
        <f aca="false">-L46+O46</f>
        <v>0.986785987775293</v>
      </c>
      <c r="Z46" s="33" t="n">
        <f aca="false">IF(B46&lt;Inputs!$B$31,Y46,IF(B46=Inputs!$B$31,Y46+T46,0))</f>
        <v>0</v>
      </c>
      <c r="AA46" s="33" t="n">
        <f aca="false">-E46+H46</f>
        <v>1.27557198857976</v>
      </c>
      <c r="AB46" s="33" t="n">
        <f aca="false">IF(B46&lt;Inputs!$B$31,AA46,IF(B46=Inputs!$B$31,AA46+I46,0))</f>
        <v>0</v>
      </c>
      <c r="AC46" s="33" t="n">
        <f aca="false">Inputs!$B$13-P46</f>
        <v>4.25000000000003</v>
      </c>
      <c r="AD46" s="33" t="n">
        <f aca="false">N46+S46-S45</f>
        <v>0.00192295770926343</v>
      </c>
      <c r="AE46" s="33" t="n">
        <f aca="false">AJ45</f>
        <v>0</v>
      </c>
      <c r="AF46" s="33" t="n">
        <f aca="false">IF(AND(Inputs!$B$35=1,A46=Inputs!$B$36),MIN(Inputs!$B$37*I46,Inputs!$B$38),0)</f>
        <v>0</v>
      </c>
      <c r="AG46" s="33" t="n">
        <f aca="false">Inputs!$B$40*AF46</f>
        <v>0</v>
      </c>
      <c r="AH46" s="33" t="n">
        <f aca="false">Inputs!$B$39/4*AE46</f>
        <v>0</v>
      </c>
      <c r="AI46" s="33" t="n">
        <f aca="false">IF(A46=MAX($A$7:$A$46),AE46,MIN(AE46,Inputs!$B$41*MAX(0,IF(C46=1,H46,H46-J46-K46)-AH46)))</f>
        <v>0</v>
      </c>
      <c r="AJ46" s="33" t="n">
        <f aca="false">AE46+AF46-AI46</f>
        <v>0</v>
      </c>
      <c r="AK46" s="33" t="n">
        <f aca="false">AF46-AG46</f>
        <v>0</v>
      </c>
      <c r="AL46" s="18" t="n">
        <f aca="false">IF(I46&gt;0,AJ46/I46,0)</f>
        <v>0</v>
      </c>
      <c r="AM46" s="33" t="n">
        <f aca="false">IF(C46=1,H46,MAX(0,H46-J46-K46))</f>
        <v>1.23348248471911</v>
      </c>
      <c r="AN46" s="33" t="n">
        <f aca="false">AN45+AM46</f>
        <v>156.405808660677</v>
      </c>
      <c r="AO46" s="33" t="n">
        <f aca="false">MAX(0,Inputs!$B$23*MAX(0,AN46-P46)-AP45)</f>
        <v>0.246696496943821</v>
      </c>
      <c r="AP46" s="33" t="n">
        <f aca="false">AP45+AO46</f>
        <v>12.1311617321354</v>
      </c>
      <c r="AQ46" s="33" t="n">
        <f aca="false">AM46-AO46</f>
        <v>0.986785987775293</v>
      </c>
      <c r="AR46" s="33" t="n">
        <f aca="false">MAX(0,Inputs!$B$23*MAX(0,AN46+I46-P46)-AP46)</f>
        <v>0</v>
      </c>
      <c r="AS46" s="33" t="n">
        <f aca="false">I46-AR46</f>
        <v>0</v>
      </c>
      <c r="AT46" s="33" t="n">
        <f aca="false">AT45+AQ46</f>
        <v>144.274646928541</v>
      </c>
      <c r="AU46" s="33" t="n">
        <f aca="false">-L46+AQ46</f>
        <v>0.986785987775293</v>
      </c>
      <c r="AV46" s="33" t="n">
        <f aca="false">IF(B46&lt;Inputs!$B$31,AU46,IF(B46=Inputs!$B$31,AU46+AS46,0))</f>
        <v>0</v>
      </c>
      <c r="AW46" s="34" t="n">
        <f aca="false">IF(P46&gt;0,(AT46+AS46)/P46,0)</f>
        <v>1.50678482431897</v>
      </c>
    </row>
    <row r="48" customFormat="false" ht="15" hidden="false" customHeight="false" outlineLevel="0" collapsed="false">
      <c r="A48" s="5" t="s">
        <v>137</v>
      </c>
      <c r="E48" s="20" t="n">
        <f aca="false">SUM(E7:E46)</f>
        <v>85</v>
      </c>
      <c r="F48" s="20" t="n">
        <f aca="false">SUM(F7:F46)</f>
        <v>74.9790220220028</v>
      </c>
      <c r="H48" s="20" t="n">
        <f aca="false">SUM(H7:H46)</f>
        <v>159.979022022003</v>
      </c>
      <c r="J48" s="20" t="n">
        <f aca="false">SUM(J7:J46)</f>
        <v>12.823213361326</v>
      </c>
      <c r="K48" s="20" t="n">
        <f aca="false">SUM(K7:K46)</f>
        <v>1.5</v>
      </c>
      <c r="L48" s="20" t="n">
        <f aca="false">SUM(L7:L46)</f>
        <v>95.75</v>
      </c>
      <c r="M48" s="20" t="n">
        <f aca="false">SUM(M7:M46)</f>
        <v>155.277817047864</v>
      </c>
      <c r="N48" s="20" t="n">
        <f aca="false">SUM(N7:N46)</f>
        <v>11.9055634095728</v>
      </c>
      <c r="O48" s="20" t="n">
        <f aca="false">SUM(O7:O46)</f>
        <v>143.372253638291</v>
      </c>
      <c r="AF48" s="20" t="n">
        <f aca="false">SUM(AF7:AF46)</f>
        <v>14.2271975152765</v>
      </c>
      <c r="AG48" s="20" t="n">
        <f aca="false">SUM(AG7:AG46)</f>
        <v>0.142271975152765</v>
      </c>
      <c r="AH48" s="20" t="n">
        <f aca="false">SUM(AH7:AH46)</f>
        <v>0.98571963766005</v>
      </c>
      <c r="AI48" s="20" t="n">
        <f aca="false">SUM(AI7:AI46)</f>
        <v>14.2271975152765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  <col collapsed="false" customWidth="true" hidden="false" outlineLevel="0" max="3" min="3" style="0" width="90"/>
  </cols>
  <sheetData>
    <row r="1" customFormat="false" ht="17.35" hidden="false" customHeight="false" outlineLevel="0" collapsed="false">
      <c r="A1" s="13" t="s">
        <v>138</v>
      </c>
    </row>
    <row r="2" customFormat="false" ht="15" hidden="false" customHeight="false" outlineLevel="0" collapsed="false">
      <c r="A2" s="2" t="s">
        <v>139</v>
      </c>
    </row>
    <row r="4" customFormat="false" ht="15" hidden="false" customHeight="false" outlineLevel="0" collapsed="false">
      <c r="A4" s="5" t="s">
        <v>17</v>
      </c>
      <c r="B4" s="35" t="n">
        <f aca="false">Inputs!B31</f>
        <v>47118</v>
      </c>
    </row>
    <row r="5" customFormat="false" ht="15" hidden="false" customHeight="false" outlineLevel="0" collapsed="false">
      <c r="A5" s="32" t="s">
        <v>140</v>
      </c>
      <c r="B5" s="36" t="n">
        <f aca="false">MATCH(B4,Fund!$B$7:$B$46,0)</f>
        <v>24</v>
      </c>
    </row>
    <row r="6" customFormat="false" ht="15" hidden="false" customHeight="false" outlineLevel="0" collapsed="false">
      <c r="A6" s="6" t="s">
        <v>141</v>
      </c>
      <c r="B6" s="30" t="n">
        <f aca="false">INDEX(Fund!$A$7:$A$46,$B$5)</f>
        <v>24</v>
      </c>
    </row>
    <row r="8" customFormat="false" ht="15" hidden="false" customHeight="false" outlineLevel="0" collapsed="false">
      <c r="A8" s="15" t="s">
        <v>142</v>
      </c>
      <c r="B8" s="16" t="s">
        <v>46</v>
      </c>
      <c r="C8" s="16" t="s">
        <v>143</v>
      </c>
    </row>
    <row r="9" customFormat="false" ht="15" hidden="false" customHeight="false" outlineLevel="0" collapsed="false">
      <c r="A9" s="6" t="s">
        <v>144</v>
      </c>
      <c r="B9" s="37" t="n">
        <f aca="false">Inputs!B13</f>
        <v>100</v>
      </c>
      <c r="C9" s="2" t="s">
        <v>145</v>
      </c>
    </row>
    <row r="10" customFormat="false" ht="15" hidden="false" customHeight="false" outlineLevel="0" collapsed="false">
      <c r="A10" s="6" t="s">
        <v>18</v>
      </c>
      <c r="B10" s="33" t="n">
        <f aca="false">INDEX(Fund!$P$7:$P$46,$B$5)</f>
        <v>95.75</v>
      </c>
      <c r="C10" s="2" t="s">
        <v>146</v>
      </c>
    </row>
    <row r="11" customFormat="false" ht="15" hidden="false" customHeight="false" outlineLevel="0" collapsed="false">
      <c r="A11" s="6" t="s">
        <v>147</v>
      </c>
      <c r="B11" s="18" t="n">
        <f aca="false">B10/B9</f>
        <v>0.9575</v>
      </c>
      <c r="C11" s="2"/>
    </row>
    <row r="12" customFormat="false" ht="15" hidden="false" customHeight="false" outlineLevel="0" collapsed="false">
      <c r="A12" s="6" t="s">
        <v>148</v>
      </c>
      <c r="B12" s="33" t="n">
        <f aca="false">B9-B10</f>
        <v>4.25000000000003</v>
      </c>
      <c r="C12" s="2"/>
    </row>
    <row r="13" customFormat="false" ht="15" hidden="false" customHeight="false" outlineLevel="0" collapsed="false">
      <c r="A13" s="6" t="s">
        <v>149</v>
      </c>
      <c r="B13" s="33" t="n">
        <f aca="false">INDEX(Fund!$U$7:$U$46,$B$5)</f>
        <v>76.2701295894955</v>
      </c>
      <c r="C13" s="2" t="s">
        <v>150</v>
      </c>
    </row>
    <row r="14" customFormat="false" ht="15" hidden="false" customHeight="false" outlineLevel="0" collapsed="false">
      <c r="A14" s="6" t="s">
        <v>20</v>
      </c>
      <c r="B14" s="33" t="n">
        <f aca="false">INDEX(Fund!$T$7:$T$46,$B$5)</f>
        <v>55.7354868305729</v>
      </c>
      <c r="C14" s="2" t="s">
        <v>151</v>
      </c>
    </row>
    <row r="15" customFormat="false" ht="15" hidden="false" customHeight="false" outlineLevel="0" collapsed="false">
      <c r="A15" s="5" t="s">
        <v>21</v>
      </c>
      <c r="B15" s="38" t="n">
        <f aca="false">B13/B10</f>
        <v>0.796554878219274</v>
      </c>
      <c r="C15" s="2" t="s">
        <v>152</v>
      </c>
    </row>
    <row r="16" customFormat="false" ht="15" hidden="false" customHeight="false" outlineLevel="0" collapsed="false">
      <c r="A16" s="5" t="s">
        <v>22</v>
      </c>
      <c r="B16" s="38" t="n">
        <f aca="false">B14/B10</f>
        <v>0.582093857238359</v>
      </c>
      <c r="C16" s="2" t="s">
        <v>153</v>
      </c>
    </row>
    <row r="17" customFormat="false" ht="15" hidden="false" customHeight="false" outlineLevel="0" collapsed="false">
      <c r="A17" s="5" t="s">
        <v>23</v>
      </c>
      <c r="B17" s="38" t="n">
        <f aca="false">B15+B16</f>
        <v>1.37864873545763</v>
      </c>
      <c r="C17" s="2" t="s">
        <v>154</v>
      </c>
    </row>
    <row r="18" customFormat="false" ht="15" hidden="false" customHeight="false" outlineLevel="0" collapsed="false">
      <c r="A18" s="5" t="s">
        <v>155</v>
      </c>
      <c r="B18" s="39" t="n">
        <f aca="false">XIRR(Fund!$Z$7:$Z$46,Fund!$B$7:$B$46)</f>
        <v>0.111992382180144</v>
      </c>
      <c r="C18" s="2" t="s">
        <v>156</v>
      </c>
    </row>
    <row r="21" customFormat="false" ht="15" hidden="false" customHeight="false" outlineLevel="0" collapsed="false">
      <c r="A21" s="15" t="s">
        <v>157</v>
      </c>
      <c r="B21" s="16" t="s">
        <v>46</v>
      </c>
      <c r="C21" s="16" t="s">
        <v>143</v>
      </c>
    </row>
    <row r="22" customFormat="false" ht="15" hidden="false" customHeight="false" outlineLevel="0" collapsed="false">
      <c r="A22" s="6" t="s">
        <v>158</v>
      </c>
      <c r="B22" s="33" t="n">
        <f aca="false">SUMIFS(Fund!$E$7:$E$46,Fund!$B$7:$B$46,"&lt;="&amp;$B$4)</f>
        <v>85</v>
      </c>
      <c r="C22" s="2"/>
    </row>
    <row r="23" customFormat="false" ht="15" hidden="false" customHeight="false" outlineLevel="0" collapsed="false">
      <c r="A23" s="6" t="s">
        <v>159</v>
      </c>
      <c r="B23" s="33" t="n">
        <f aca="false">SUMIFS(Fund!$H$7:$H$46,Fund!$B$7:$B$46,"&lt;="&amp;$B$4)</f>
        <v>72.8078503776206</v>
      </c>
      <c r="C23" s="2"/>
    </row>
    <row r="24" customFormat="false" ht="15" hidden="false" customHeight="false" outlineLevel="0" collapsed="false">
      <c r="A24" s="6" t="s">
        <v>160</v>
      </c>
      <c r="B24" s="33" t="n">
        <f aca="false">INDEX(Fund!$I$7:$I$46,$B$5)</f>
        <v>70.6916706301332</v>
      </c>
      <c r="C24" s="2" t="s">
        <v>161</v>
      </c>
    </row>
    <row r="25" customFormat="false" ht="15" hidden="false" customHeight="false" outlineLevel="0" collapsed="false">
      <c r="A25" s="5" t="s">
        <v>162</v>
      </c>
      <c r="B25" s="38" t="n">
        <f aca="false">(B23+B24)/B22</f>
        <v>1.68822965891475</v>
      </c>
      <c r="C25" s="2" t="s">
        <v>163</v>
      </c>
    </row>
    <row r="26" customFormat="false" ht="15" hidden="false" customHeight="false" outlineLevel="0" collapsed="false">
      <c r="A26" s="5" t="s">
        <v>164</v>
      </c>
      <c r="B26" s="39" t="n">
        <f aca="false">XIRR(Fund!$AB$7:$AB$46,Fund!$B$7:$B$46)</f>
        <v>0.179756985128796</v>
      </c>
      <c r="C26" s="2" t="s">
        <v>165</v>
      </c>
    </row>
    <row r="27" customFormat="false" ht="15" hidden="false" customHeight="false" outlineLevel="0" collapsed="false">
      <c r="A27" s="6" t="s">
        <v>166</v>
      </c>
      <c r="B27" s="18" t="n">
        <f aca="false">B26-B18</f>
        <v>0.0677646029486518</v>
      </c>
      <c r="C27" s="2" t="s">
        <v>167</v>
      </c>
    </row>
    <row r="30" customFormat="false" ht="15" hidden="false" customHeight="false" outlineLevel="0" collapsed="false">
      <c r="A30" s="15" t="s">
        <v>168</v>
      </c>
      <c r="B30" s="16" t="s">
        <v>46</v>
      </c>
      <c r="C30" s="16"/>
    </row>
    <row r="31" customFormat="false" ht="15" hidden="false" customHeight="false" outlineLevel="0" collapsed="false">
      <c r="A31" s="6" t="s">
        <v>169</v>
      </c>
      <c r="B31" s="37" t="n">
        <f aca="false">Fund!L48</f>
        <v>95.75</v>
      </c>
    </row>
    <row r="32" customFormat="false" ht="15" hidden="false" customHeight="false" outlineLevel="0" collapsed="false">
      <c r="A32" s="6" t="s">
        <v>170</v>
      </c>
      <c r="B32" s="37" t="n">
        <f aca="false">Fund!O48</f>
        <v>143.372253638291</v>
      </c>
    </row>
    <row r="33" customFormat="false" ht="15" hidden="false" customHeight="false" outlineLevel="0" collapsed="false">
      <c r="A33" s="6" t="s">
        <v>171</v>
      </c>
      <c r="B33" s="37" t="n">
        <f aca="false">Fund!J48</f>
        <v>12.823213361326</v>
      </c>
    </row>
    <row r="34" customFormat="false" ht="15" hidden="false" customHeight="false" outlineLevel="0" collapsed="false">
      <c r="A34" s="6" t="s">
        <v>172</v>
      </c>
      <c r="B34" s="37" t="n">
        <f aca="false">Fund!K48</f>
        <v>1.5</v>
      </c>
    </row>
    <row r="35" customFormat="false" ht="15" hidden="false" customHeight="false" outlineLevel="0" collapsed="false">
      <c r="A35" s="6" t="s">
        <v>173</v>
      </c>
      <c r="B35" s="37" t="n">
        <f aca="false">Fund!N48</f>
        <v>11.9055634095728</v>
      </c>
    </row>
    <row r="36" customFormat="false" ht="15" hidden="false" customHeight="false" outlineLevel="0" collapsed="false">
      <c r="A36" s="5" t="s">
        <v>174</v>
      </c>
      <c r="B36" s="38" t="n">
        <f aca="false">B32/B31</f>
        <v>1.49736035131375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4" min="2" style="0" width="16"/>
    <col collapsed="false" customWidth="true" hidden="false" outlineLevel="0" max="5" min="5" style="0" width="80"/>
  </cols>
  <sheetData>
    <row r="1" customFormat="false" ht="17.35" hidden="false" customHeight="false" outlineLevel="0" collapsed="false">
      <c r="A1" s="13" t="s">
        <v>175</v>
      </c>
    </row>
    <row r="2" customFormat="false" ht="15" hidden="false" customHeight="false" outlineLevel="0" collapsed="false">
      <c r="A2" s="2" t="s">
        <v>176</v>
      </c>
    </row>
    <row r="4" customFormat="false" ht="15" hidden="false" customHeight="false" outlineLevel="0" collapsed="false">
      <c r="A4" s="6" t="s">
        <v>177</v>
      </c>
      <c r="B4" s="40" t="n">
        <f aca="false">Inputs!B35</f>
        <v>1</v>
      </c>
    </row>
    <row r="5" customFormat="false" ht="15" hidden="false" customHeight="false" outlineLevel="0" collapsed="false">
      <c r="A5" s="6" t="s">
        <v>178</v>
      </c>
      <c r="B5" s="31" t="n">
        <f aca="false">IFERROR(INDEX(Fund!$B$7:$B$46,Inputs!B36),"n/a")</f>
        <v>46843</v>
      </c>
    </row>
    <row r="6" customFormat="false" ht="15" hidden="false" customHeight="false" outlineLevel="0" collapsed="false">
      <c r="A6" s="6" t="s">
        <v>179</v>
      </c>
      <c r="B6" s="41" t="n">
        <f aca="false">Inputs!B37</f>
        <v>0.15</v>
      </c>
      <c r="C6" s="42" t="n">
        <f aca="false">Inputs!B39</f>
        <v>0.09</v>
      </c>
    </row>
    <row r="8" customFormat="false" ht="15" hidden="false" customHeight="false" outlineLevel="0" collapsed="false">
      <c r="A8" s="15" t="s">
        <v>180</v>
      </c>
      <c r="B8" s="16" t="s">
        <v>181</v>
      </c>
      <c r="C8" s="16" t="s">
        <v>182</v>
      </c>
      <c r="D8" s="16" t="s">
        <v>183</v>
      </c>
      <c r="E8" s="43" t="s">
        <v>184</v>
      </c>
    </row>
    <row r="9" customFormat="false" ht="15" hidden="false" customHeight="false" outlineLevel="0" collapsed="false">
      <c r="A9" s="6" t="s">
        <v>18</v>
      </c>
      <c r="B9" s="37" t="n">
        <f aca="false">Returns!B10</f>
        <v>95.75</v>
      </c>
      <c r="C9" s="33" t="n">
        <f aca="false">INDEX(Fund!$P$7:$P$46,Returns!$B$5)</f>
        <v>95.75</v>
      </c>
      <c r="D9" s="33" t="n">
        <f aca="false">B9-C9</f>
        <v>0</v>
      </c>
      <c r="E9" s="2" t="s">
        <v>185</v>
      </c>
    </row>
    <row r="10" customFormat="false" ht="15" hidden="false" customHeight="false" outlineLevel="0" collapsed="false">
      <c r="A10" s="6" t="s">
        <v>149</v>
      </c>
      <c r="B10" s="37" t="n">
        <f aca="false">Returns!B13</f>
        <v>76.2701295894955</v>
      </c>
      <c r="C10" s="33" t="n">
        <f aca="false">INDEX(Fund!$AT$7:$AT$46,Returns!$B$5)</f>
        <v>71.2974311095029</v>
      </c>
      <c r="D10" s="33" t="n">
        <f aca="false">B10-C10</f>
        <v>4.97269847999255</v>
      </c>
      <c r="E10" s="2" t="s">
        <v>186</v>
      </c>
    </row>
    <row r="11" customFormat="false" ht="15" hidden="false" customHeight="false" outlineLevel="0" collapsed="false">
      <c r="A11" s="6" t="s">
        <v>20</v>
      </c>
      <c r="B11" s="37" t="n">
        <f aca="false">Returns!B14</f>
        <v>55.7354868305729</v>
      </c>
      <c r="C11" s="33" t="n">
        <f aca="false">INDEX(Fund!$AS$7:$AS$46,Returns!$B$5)</f>
        <v>61.4438502822059</v>
      </c>
      <c r="D11" s="33" t="n">
        <f aca="false">B11-C11</f>
        <v>-5.70836345163308</v>
      </c>
      <c r="E11" s="2" t="s">
        <v>187</v>
      </c>
    </row>
    <row r="12" customFormat="false" ht="15" hidden="false" customHeight="false" outlineLevel="0" collapsed="false">
      <c r="A12" s="6" t="s">
        <v>21</v>
      </c>
      <c r="B12" s="44" t="n">
        <f aca="false">Returns!B15</f>
        <v>0.796554878219274</v>
      </c>
      <c r="C12" s="34" t="n">
        <f aca="false">C10/C9</f>
        <v>0.744620690438673</v>
      </c>
      <c r="D12" s="34" t="n">
        <f aca="false">B12-C12</f>
        <v>0.051934187780601</v>
      </c>
      <c r="E12" s="2" t="s">
        <v>188</v>
      </c>
    </row>
    <row r="13" customFormat="false" ht="15" hidden="false" customHeight="false" outlineLevel="0" collapsed="false">
      <c r="A13" s="6" t="s">
        <v>22</v>
      </c>
      <c r="B13" s="44" t="n">
        <f aca="false">Returns!B16</f>
        <v>0.582093857238359</v>
      </c>
      <c r="C13" s="34" t="n">
        <f aca="false">C11/C9</f>
        <v>0.641711230101368</v>
      </c>
      <c r="D13" s="34" t="n">
        <f aca="false">B13-C13</f>
        <v>-0.0596173728630087</v>
      </c>
      <c r="E13" s="2"/>
    </row>
    <row r="14" customFormat="false" ht="15" hidden="false" customHeight="false" outlineLevel="0" collapsed="false">
      <c r="A14" s="5" t="s">
        <v>23</v>
      </c>
      <c r="B14" s="45" t="n">
        <f aca="false">Returns!B17</f>
        <v>1.37864873545763</v>
      </c>
      <c r="C14" s="38" t="n">
        <f aca="false">C12+C13</f>
        <v>1.38633192054004</v>
      </c>
      <c r="D14" s="38" t="n">
        <f aca="false">B14-C14</f>
        <v>-0.00768318508240773</v>
      </c>
      <c r="E14" s="2" t="s">
        <v>189</v>
      </c>
    </row>
    <row r="15" customFormat="false" ht="15" hidden="false" customHeight="false" outlineLevel="0" collapsed="false">
      <c r="A15" s="5" t="s">
        <v>155</v>
      </c>
      <c r="B15" s="46" t="n">
        <f aca="false">Returns!B18</f>
        <v>0.111992382180144</v>
      </c>
      <c r="C15" s="39" t="n">
        <f aca="false">XIRR(Fund!$AV$7:$AV$46,Fund!$B$7:$B$46)</f>
        <v>0.11151399435171</v>
      </c>
      <c r="D15" s="39" t="n">
        <f aca="false">B15-C15</f>
        <v>0.000478387828434526</v>
      </c>
      <c r="E15" s="2" t="s">
        <v>190</v>
      </c>
    </row>
    <row r="18" customFormat="false" ht="15" hidden="false" customHeight="false" outlineLevel="0" collapsed="false">
      <c r="A18" s="15" t="s">
        <v>191</v>
      </c>
      <c r="B18" s="16" t="s">
        <v>181</v>
      </c>
      <c r="C18" s="16" t="s">
        <v>182</v>
      </c>
      <c r="D18" s="16" t="s">
        <v>183</v>
      </c>
    </row>
    <row r="19" customFormat="false" ht="15" hidden="false" customHeight="false" outlineLevel="0" collapsed="false">
      <c r="A19" s="6" t="s">
        <v>170</v>
      </c>
      <c r="B19" s="37" t="n">
        <f aca="false">Fund!O48</f>
        <v>143.372253638291</v>
      </c>
      <c r="C19" s="33" t="n">
        <f aca="false">SUM(Fund!$AQ$7:$AQ$46)</f>
        <v>144.274646928541</v>
      </c>
      <c r="D19" s="33" t="n">
        <f aca="false">B19-C19</f>
        <v>-0.902393290250274</v>
      </c>
    </row>
    <row r="20" customFormat="false" ht="15" hidden="false" customHeight="false" outlineLevel="0" collapsed="false">
      <c r="A20" s="5" t="s">
        <v>174</v>
      </c>
      <c r="B20" s="38" t="n">
        <f aca="false">B19/Fund!L48</f>
        <v>1.49736035131375</v>
      </c>
      <c r="C20" s="38" t="n">
        <f aca="false">C19/Fund!L48</f>
        <v>1.50678482431897</v>
      </c>
      <c r="D20" s="38" t="n">
        <f aca="false">B20-C20</f>
        <v>-0.00942447300522487</v>
      </c>
    </row>
    <row r="21" customFormat="false" ht="15" hidden="false" customHeight="false" outlineLevel="0" collapsed="false">
      <c r="A21" s="5" t="s">
        <v>192</v>
      </c>
      <c r="B21" s="39" t="n">
        <f aca="false">XIRR(Fund!$Y$7:$Y$46,Fund!$B$7:$B$46)</f>
        <v>0.117910644514683</v>
      </c>
      <c r="C21" s="39" t="n">
        <f aca="false">XIRR(Fund!$AU$7:$AU$46,Fund!$B$7:$B$46)</f>
        <v>0.117251293913129</v>
      </c>
      <c r="D21" s="39" t="n">
        <f aca="false">B21-C21</f>
        <v>0.000659350601554393</v>
      </c>
    </row>
    <row r="22" customFormat="false" ht="15" hidden="false" customHeight="false" outlineLevel="0" collapsed="false">
      <c r="A22" s="6" t="s">
        <v>173</v>
      </c>
      <c r="B22" s="37" t="n">
        <f aca="false">Fund!N48</f>
        <v>11.9055634095728</v>
      </c>
      <c r="C22" s="33" t="n">
        <f aca="false">SUM(Fund!$AO$7:$AO$46)</f>
        <v>12.1311617321354</v>
      </c>
      <c r="D22" s="33" t="n">
        <f aca="false">B22-C22</f>
        <v>-0.225598322562565</v>
      </c>
    </row>
    <row r="25" customFormat="false" ht="15" hidden="false" customHeight="false" outlineLevel="0" collapsed="false">
      <c r="A25" s="15" t="s">
        <v>193</v>
      </c>
      <c r="B25" s="16" t="s">
        <v>46</v>
      </c>
    </row>
    <row r="26" customFormat="false" ht="15" hidden="false" customHeight="false" outlineLevel="0" collapsed="false">
      <c r="A26" s="6" t="s">
        <v>194</v>
      </c>
      <c r="B26" s="37" t="n">
        <f aca="false">Fund!AF48</f>
        <v>14.2271975152765</v>
      </c>
    </row>
    <row r="27" customFormat="false" ht="15" hidden="false" customHeight="false" outlineLevel="0" collapsed="false">
      <c r="A27" s="6" t="s">
        <v>195</v>
      </c>
      <c r="B27" s="37" t="n">
        <f aca="false">Fund!AG48</f>
        <v>0.142271975152765</v>
      </c>
    </row>
    <row r="28" customFormat="false" ht="15" hidden="false" customHeight="false" outlineLevel="0" collapsed="false">
      <c r="A28" s="6" t="s">
        <v>196</v>
      </c>
      <c r="B28" s="33" t="n">
        <f aca="false">B26-B27</f>
        <v>14.0849255401237</v>
      </c>
    </row>
    <row r="29" customFormat="false" ht="15" hidden="false" customHeight="false" outlineLevel="0" collapsed="false">
      <c r="A29" s="6" t="s">
        <v>197</v>
      </c>
      <c r="B29" s="37" t="n">
        <f aca="false">Fund!AH48</f>
        <v>0.98571963766005</v>
      </c>
    </row>
    <row r="30" customFormat="false" ht="15" hidden="false" customHeight="false" outlineLevel="0" collapsed="false">
      <c r="A30" s="6" t="s">
        <v>198</v>
      </c>
      <c r="B30" s="33" t="n">
        <f aca="false">B27+B29</f>
        <v>1.12799161281282</v>
      </c>
    </row>
    <row r="31" customFormat="false" ht="15" hidden="false" customHeight="false" outlineLevel="0" collapsed="false">
      <c r="A31" s="6" t="s">
        <v>199</v>
      </c>
      <c r="B31" s="37" t="n">
        <f aca="false">Fund!AI48</f>
        <v>14.2271975152765</v>
      </c>
    </row>
    <row r="32" customFormat="false" ht="15" hidden="false" customHeight="false" outlineLevel="0" collapsed="false">
      <c r="A32" s="6" t="s">
        <v>200</v>
      </c>
      <c r="B32" s="18" t="n">
        <f aca="false">MAX(Fund!$AL$7:$AL$46)</f>
        <v>0.15</v>
      </c>
    </row>
    <row r="33" customFormat="false" ht="15" hidden="false" customHeight="false" outlineLevel="0" collapsed="false">
      <c r="A33" s="6" t="s">
        <v>201</v>
      </c>
      <c r="B33" s="31" t="n">
        <f aca="false">IF(B26=0,"n/a",IFERROR(INDEX(Fund!$B$7:$B$46,Inputs!B36+COUNTIF(Fund!$AJ$7:$AJ$46,"&gt;0")),"n/a"))</f>
        <v>47391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5" topLeftCell="B36" activePane="bottomRight" state="frozen"/>
      <selection pane="topLeft" activeCell="A1" activeCellId="0" sqref="A1"/>
      <selection pane="topRight" activeCell="B1" activeCellId="0" sqref="B1"/>
      <selection pane="bottomLeft" activeCell="A36" activeCellId="0" sqref="A3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8" min="2" style="0" width="17"/>
    <col collapsed="false" customWidth="true" hidden="false" outlineLevel="0" max="9" min="9" style="0" width="60"/>
  </cols>
  <sheetData>
    <row r="1" customFormat="false" ht="17.35" hidden="false" customHeight="false" outlineLevel="0" collapsed="false">
      <c r="A1" s="13" t="s">
        <v>202</v>
      </c>
    </row>
    <row r="2" customFormat="false" ht="15" hidden="false" customHeight="false" outlineLevel="0" collapsed="false">
      <c r="A2" s="2" t="s">
        <v>203</v>
      </c>
    </row>
    <row r="3" customFormat="false" ht="15" hidden="false" customHeight="false" outlineLevel="0" collapsed="false">
      <c r="A3" s="5" t="s">
        <v>204</v>
      </c>
      <c r="B3" s="47" t="s">
        <v>39</v>
      </c>
      <c r="C3" s="47"/>
    </row>
    <row r="4" customFormat="false" ht="15" hidden="false" customHeight="false" outlineLevel="0" collapsed="false">
      <c r="A4" s="6" t="s">
        <v>37</v>
      </c>
      <c r="B4" s="33" t="n">
        <f aca="false">INDEX(Inputs!$B$9:$B$12,MATCH($B$3,Inputs!$A$9:$A$12,0))</f>
        <v>40</v>
      </c>
    </row>
    <row r="5" customFormat="false" ht="15" hidden="false" customHeight="false" outlineLevel="0" collapsed="false">
      <c r="A5" s="6" t="s">
        <v>205</v>
      </c>
      <c r="B5" s="18" t="n">
        <f aca="false">INDEX(Inputs!$C$9:$C$12,MATCH($B$3,Inputs!$A$9:$A$12,0))</f>
        <v>0.4</v>
      </c>
    </row>
    <row r="6" customFormat="false" ht="15" hidden="false" customHeight="false" outlineLevel="0" collapsed="false">
      <c r="A6" s="5" t="s">
        <v>206</v>
      </c>
      <c r="B6" s="28" t="n">
        <v>46753</v>
      </c>
      <c r="C6" s="2" t="s">
        <v>207</v>
      </c>
    </row>
    <row r="7" customFormat="false" ht="15" hidden="false" customHeight="false" outlineLevel="0" collapsed="false">
      <c r="A7" s="5" t="s">
        <v>208</v>
      </c>
      <c r="B7" s="28" t="n">
        <v>47118</v>
      </c>
    </row>
    <row r="10" customFormat="false" ht="15" hidden="false" customHeight="false" outlineLevel="0" collapsed="false">
      <c r="A10" s="15" t="s">
        <v>209</v>
      </c>
      <c r="B10" s="16" t="s">
        <v>210</v>
      </c>
    </row>
    <row r="11" customFormat="false" ht="15" hidden="false" customHeight="false" outlineLevel="0" collapsed="false">
      <c r="A11" s="5" t="s">
        <v>211</v>
      </c>
      <c r="B11" s="48" t="n">
        <f aca="false">IFERROR($B$5*INDEX(Fund!$T$7:$T$46,MATCH($B$6-1,Fund!$B$7:$B$46,1)),0)</f>
        <v>37.8520857434064</v>
      </c>
    </row>
    <row r="12" customFormat="false" ht="15" hidden="false" customHeight="false" outlineLevel="0" collapsed="false">
      <c r="A12" s="49" t="s">
        <v>212</v>
      </c>
      <c r="B12" s="33" t="n">
        <f aca="false">$B$5*SUMIFS(Fund!$L$7:$L$46,Fund!$B$7:$B$46,"&gt;="&amp;$B$6,Fund!$B$7:$B$46,"&lt;="&amp;$B$7)</f>
        <v>0</v>
      </c>
    </row>
    <row r="13" customFormat="false" ht="15" hidden="false" customHeight="false" outlineLevel="0" collapsed="false">
      <c r="A13" s="49" t="s">
        <v>213</v>
      </c>
      <c r="B13" s="33" t="n">
        <f aca="false">-$B$5*SUMIFS(Fund!$O$7:$O$46,Fund!$B$7:$B$46,"&gt;="&amp;$B$6,Fund!$B$7:$B$46,"&lt;="&amp;$B$7)</f>
        <v>-19.6846652044926</v>
      </c>
    </row>
    <row r="14" customFormat="false" ht="15" hidden="false" customHeight="false" outlineLevel="0" collapsed="false">
      <c r="A14" s="32" t="s">
        <v>214</v>
      </c>
    </row>
    <row r="15" customFormat="false" ht="15" hidden="false" customHeight="false" outlineLevel="0" collapsed="false">
      <c r="A15" s="50" t="s">
        <v>215</v>
      </c>
      <c r="B15" s="33" t="n">
        <f aca="false">$B$5*SUMIFS(Fund!$F$7:$F$46,Fund!$B$7:$B$46,"&gt;="&amp;$B$6,Fund!$B$7:$B$46,"&lt;="&amp;$B$7)</f>
        <v>6.13046793471153</v>
      </c>
    </row>
    <row r="16" customFormat="false" ht="15" hidden="false" customHeight="false" outlineLevel="0" collapsed="false">
      <c r="A16" s="50" t="s">
        <v>216</v>
      </c>
      <c r="B16" s="33" t="n">
        <f aca="false">-$B$5*SUMIFS(Fund!$J$7:$J$46,Fund!$B$7:$B$46,"&gt;="&amp;$B$6,Fund!$B$7:$B$46,"&lt;="&amp;$B$7)</f>
        <v>-0.544167707247051</v>
      </c>
    </row>
    <row r="17" customFormat="false" ht="15" hidden="false" customHeight="false" outlineLevel="0" collapsed="false">
      <c r="A17" s="50" t="s">
        <v>101</v>
      </c>
      <c r="B17" s="33" t="n">
        <f aca="false">-$B$5*SUMIFS(Fund!$K$7:$K$46,Fund!$B$7:$B$46,"&gt;="&amp;$B$6,Fund!$B$7:$B$46,"&lt;="&amp;$B$7)</f>
        <v>-0.06</v>
      </c>
    </row>
    <row r="18" customFormat="false" ht="15" hidden="false" customHeight="false" outlineLevel="0" collapsed="false">
      <c r="A18" s="50" t="s">
        <v>217</v>
      </c>
      <c r="B18" s="33" t="n">
        <f aca="false">-$B$5*SUMIFS(Fund!$AH$7:$AH$46,Fund!$B$7:$B$46,"&gt;="&amp;$B$6,Fund!$B$7:$B$46,"&lt;="&amp;$B$7)</f>
        <v>-0.310923695759159</v>
      </c>
    </row>
    <row r="19" customFormat="false" ht="15" hidden="false" customHeight="false" outlineLevel="0" collapsed="false">
      <c r="A19" s="50" t="s">
        <v>218</v>
      </c>
      <c r="B19" s="33" t="n">
        <f aca="false">-$B$5*SUMIFS(Fund!$AG$7:$AG$46,Fund!$B$7:$B$46,"&gt;="&amp;$B$6,Fund!$B$7:$B$46,"&lt;="&amp;$B$7)</f>
        <v>-0.0569087900611059</v>
      </c>
    </row>
    <row r="20" customFormat="false" ht="15" hidden="false" customHeight="false" outlineLevel="0" collapsed="false">
      <c r="A20" s="50" t="s">
        <v>219</v>
      </c>
      <c r="B20" s="33" t="n">
        <f aca="false">-$B$5*SUMIFS(Fund!$AD$7:$AD$46,Fund!$B$7:$B$46,"&gt;="&amp;$B$6,Fund!$B$7:$B$46,"&lt;="&amp;$B$7)</f>
        <v>-1.03169354832884</v>
      </c>
    </row>
    <row r="21" customFormat="false" ht="15" hidden="false" customHeight="false" outlineLevel="0" collapsed="false">
      <c r="A21" s="49" t="s">
        <v>220</v>
      </c>
      <c r="B21" s="51" t="n">
        <f aca="false">SUM(B15:B20)</f>
        <v>4.12677419331537</v>
      </c>
    </row>
    <row r="22" customFormat="false" ht="15" hidden="false" customHeight="false" outlineLevel="0" collapsed="false">
      <c r="A22" s="5" t="s">
        <v>221</v>
      </c>
      <c r="B22" s="20" t="n">
        <f aca="false">B11+B12+B13+B21</f>
        <v>22.2941947322291</v>
      </c>
    </row>
    <row r="23" customFormat="false" ht="15" hidden="false" customHeight="false" outlineLevel="0" collapsed="false">
      <c r="A23" s="32" t="s">
        <v>222</v>
      </c>
      <c r="B23" s="52" t="n">
        <f aca="false">$B$5*INDEX(Fund!$T$7:$T$46,MATCH($B$7,Fund!$B$7:$B$46,1))</f>
        <v>22.2941947322291</v>
      </c>
    </row>
    <row r="24" customFormat="false" ht="15" hidden="false" customHeight="false" outlineLevel="0" collapsed="false">
      <c r="A24" s="32" t="s">
        <v>183</v>
      </c>
      <c r="B24" s="52" t="n">
        <f aca="false">ROUND(B22-B23,6)</f>
        <v>0</v>
      </c>
    </row>
    <row r="26" customFormat="false" ht="15" hidden="false" customHeight="false" outlineLevel="0" collapsed="false">
      <c r="A26" s="15" t="s">
        <v>223</v>
      </c>
      <c r="B26" s="16" t="s">
        <v>46</v>
      </c>
    </row>
    <row r="27" customFormat="false" ht="15" hidden="false" customHeight="false" outlineLevel="0" collapsed="false">
      <c r="A27" s="6" t="s">
        <v>224</v>
      </c>
      <c r="B27" s="33" t="n">
        <f aca="false">$B$5*INDEX(Fund!$P$7:$P$46,MATCH($B$7,Fund!$B$7:$B$46,1))</f>
        <v>38.3</v>
      </c>
    </row>
    <row r="28" customFormat="false" ht="15" hidden="false" customHeight="false" outlineLevel="0" collapsed="false">
      <c r="A28" s="6" t="s">
        <v>149</v>
      </c>
      <c r="B28" s="33" t="n">
        <f aca="false">$B$5*INDEX(Fund!$U$7:$U$46,MATCH($B$7,Fund!$B$7:$B$46,1))</f>
        <v>30.5080518357982</v>
      </c>
    </row>
    <row r="29" customFormat="false" ht="15" hidden="false" customHeight="false" outlineLevel="0" collapsed="false">
      <c r="A29" s="6" t="s">
        <v>148</v>
      </c>
      <c r="B29" s="33" t="n">
        <f aca="false">$B$4-B27</f>
        <v>1.70000000000001</v>
      </c>
    </row>
    <row r="30" customFormat="false" ht="15" hidden="false" customHeight="false" outlineLevel="0" collapsed="false">
      <c r="A30" s="6" t="s">
        <v>21</v>
      </c>
      <c r="B30" s="34" t="n">
        <f aca="false">IF(B27&gt;0,B28/B27,0)</f>
        <v>0.796554878219274</v>
      </c>
      <c r="C30" s="2" t="s">
        <v>225</v>
      </c>
    </row>
    <row r="31" customFormat="false" ht="15" hidden="false" customHeight="false" outlineLevel="0" collapsed="false">
      <c r="A31" s="6" t="s">
        <v>22</v>
      </c>
      <c r="B31" s="34" t="n">
        <f aca="false">IF(B27&gt;0,B23/B27,0)</f>
        <v>0.582093857238359</v>
      </c>
    </row>
    <row r="32" customFormat="false" ht="15" hidden="false" customHeight="false" outlineLevel="0" collapsed="false">
      <c r="A32" s="5" t="s">
        <v>23</v>
      </c>
      <c r="B32" s="38" t="n">
        <f aca="false">B30+B31</f>
        <v>1.37864873545763</v>
      </c>
    </row>
    <row r="35" customFormat="false" ht="30" hidden="false" customHeight="true" outlineLevel="0" collapsed="false">
      <c r="A35" s="15" t="s">
        <v>226</v>
      </c>
      <c r="B35" s="16" t="s">
        <v>227</v>
      </c>
      <c r="C35" s="16" t="s">
        <v>228</v>
      </c>
      <c r="D35" s="16" t="s">
        <v>213</v>
      </c>
      <c r="E35" s="16" t="s">
        <v>229</v>
      </c>
      <c r="F35" s="16" t="s">
        <v>230</v>
      </c>
      <c r="G35" s="16" t="s">
        <v>115</v>
      </c>
      <c r="H35" s="16" t="s">
        <v>231</v>
      </c>
    </row>
    <row r="36" customFormat="false" ht="15" hidden="false" customHeight="false" outlineLevel="0" collapsed="false">
      <c r="A36" s="53" t="n">
        <f aca="false">Fund!B7</f>
        <v>45016</v>
      </c>
      <c r="B36" s="33" t="n">
        <f aca="false">$B$5*Fund!T6</f>
        <v>0</v>
      </c>
      <c r="C36" s="33" t="n">
        <f aca="false">$B$5*Fund!L7</f>
        <v>1.915</v>
      </c>
      <c r="D36" s="33" t="n">
        <f aca="false">-$B$5*Fund!O7</f>
        <v>-0</v>
      </c>
      <c r="E36" s="33" t="n">
        <f aca="false">$B$5*(Fund!F7-Fund!J7-Fund!K7-Fund!AH7-Fund!AG7-Fund!AD7)</f>
        <v>-0.215</v>
      </c>
      <c r="F36" s="33" t="n">
        <f aca="false">B36+C36+D36+E36</f>
        <v>1.7</v>
      </c>
      <c r="G36" s="33" t="n">
        <f aca="false">$B$4-$B$5*Fund!P7</f>
        <v>38.085</v>
      </c>
      <c r="H36" s="33" t="n">
        <f aca="false">ROUND(F36-$B$5*Fund!T7,6)</f>
        <v>0</v>
      </c>
    </row>
    <row r="37" customFormat="false" ht="15" hidden="false" customHeight="false" outlineLevel="0" collapsed="false">
      <c r="A37" s="53" t="n">
        <f aca="false">Fund!B8</f>
        <v>45107</v>
      </c>
      <c r="B37" s="33" t="n">
        <f aca="false">$B$5*Fund!T7</f>
        <v>1.7</v>
      </c>
      <c r="C37" s="33" t="n">
        <f aca="false">$B$5*Fund!L8</f>
        <v>1.915</v>
      </c>
      <c r="D37" s="33" t="n">
        <f aca="false">-$B$5*Fund!O8</f>
        <v>-0</v>
      </c>
      <c r="E37" s="33" t="n">
        <f aca="false">$B$5*(Fund!F8-Fund!J8-Fund!K8-Fund!AH8-Fund!AG8-Fund!AD8)</f>
        <v>-0.143180719724254</v>
      </c>
      <c r="F37" s="33" t="n">
        <f aca="false">B37+C37+D37+E37</f>
        <v>3.47181928027575</v>
      </c>
      <c r="G37" s="33" t="n">
        <f aca="false">$B$4-$B$5*Fund!P8</f>
        <v>36.17</v>
      </c>
      <c r="H37" s="33" t="n">
        <f aca="false">ROUND(F37-$B$5*Fund!T8,6)</f>
        <v>0</v>
      </c>
    </row>
    <row r="38" customFormat="false" ht="15" hidden="false" customHeight="false" outlineLevel="0" collapsed="false">
      <c r="A38" s="53" t="n">
        <f aca="false">Fund!B9</f>
        <v>45199</v>
      </c>
      <c r="B38" s="33" t="n">
        <f aca="false">$B$5*Fund!T8</f>
        <v>3.47181928027575</v>
      </c>
      <c r="C38" s="33" t="n">
        <f aca="false">$B$5*Fund!L9</f>
        <v>1.915</v>
      </c>
      <c r="D38" s="33" t="n">
        <f aca="false">-$B$5*Fund!O9</f>
        <v>-0</v>
      </c>
      <c r="E38" s="33" t="n">
        <f aca="false">$B$5*(Fund!F9-Fund!J9-Fund!K9-Fund!AH9-Fund!AG9-Fund!AD9)</f>
        <v>-0.0683273164959634</v>
      </c>
      <c r="F38" s="33" t="n">
        <f aca="false">B38+C38+D38+E38</f>
        <v>5.31849196377978</v>
      </c>
      <c r="G38" s="33" t="n">
        <f aca="false">$B$4-$B$5*Fund!P9</f>
        <v>34.255</v>
      </c>
      <c r="H38" s="33" t="n">
        <f aca="false">ROUND(F38-$B$5*Fund!T9,6)</f>
        <v>0</v>
      </c>
    </row>
    <row r="39" customFormat="false" ht="15" hidden="false" customHeight="false" outlineLevel="0" collapsed="false">
      <c r="A39" s="53" t="n">
        <f aca="false">Fund!B10</f>
        <v>45291</v>
      </c>
      <c r="B39" s="33" t="n">
        <f aca="false">$B$5*Fund!T9</f>
        <v>5.31849196377978</v>
      </c>
      <c r="C39" s="33" t="n">
        <f aca="false">$B$5*Fund!L10</f>
        <v>1.915</v>
      </c>
      <c r="D39" s="33" t="n">
        <f aca="false">-$B$5*Fund!O10</f>
        <v>-0</v>
      </c>
      <c r="E39" s="33" t="n">
        <f aca="false">$B$5*(Fund!F10-Fund!J10-Fund!K10-Fund!AH10-Fund!AG10-Fund!AD10)</f>
        <v>0.00968839117117794</v>
      </c>
      <c r="F39" s="33" t="n">
        <f aca="false">B39+C39+D39+E39</f>
        <v>7.24318035495096</v>
      </c>
      <c r="G39" s="33" t="n">
        <f aca="false">$B$4-$B$5*Fund!P10</f>
        <v>32.34</v>
      </c>
      <c r="H39" s="33" t="n">
        <f aca="false">ROUND(F39-$B$5*Fund!T10,6)</f>
        <v>0</v>
      </c>
    </row>
    <row r="40" customFormat="false" ht="15" hidden="false" customHeight="false" outlineLevel="0" collapsed="false">
      <c r="A40" s="53" t="n">
        <f aca="false">Fund!B11</f>
        <v>45382</v>
      </c>
      <c r="B40" s="33" t="n">
        <f aca="false">$B$5*Fund!T10</f>
        <v>7.24318035495096</v>
      </c>
      <c r="C40" s="33" t="n">
        <f aca="false">$B$5*Fund!L11</f>
        <v>1.915</v>
      </c>
      <c r="D40" s="33" t="n">
        <f aca="false">-$B$5*Fund!O11</f>
        <v>-0</v>
      </c>
      <c r="E40" s="33" t="n">
        <f aca="false">$B$5*(Fund!F11-Fund!J11-Fund!K11-Fund!AH11-Fund!AG11-Fund!AD11)</f>
        <v>0.0909999999999999</v>
      </c>
      <c r="F40" s="33" t="n">
        <f aca="false">B40+C40+D40+E40</f>
        <v>9.24918035495096</v>
      </c>
      <c r="G40" s="33" t="n">
        <f aca="false">$B$4-$B$5*Fund!P11</f>
        <v>30.425</v>
      </c>
      <c r="H40" s="33" t="n">
        <f aca="false">ROUND(F40-$B$5*Fund!T11,6)</f>
        <v>0</v>
      </c>
    </row>
    <row r="41" customFormat="false" ht="15" hidden="false" customHeight="false" outlineLevel="0" collapsed="false">
      <c r="A41" s="53" t="n">
        <f aca="false">Fund!B12</f>
        <v>45473</v>
      </c>
      <c r="B41" s="33" t="n">
        <f aca="false">$B$5*Fund!T11</f>
        <v>9.24918035495096</v>
      </c>
      <c r="C41" s="33" t="n">
        <f aca="false">$B$5*Fund!L12</f>
        <v>1.915</v>
      </c>
      <c r="D41" s="33" t="n">
        <f aca="false">-$B$5*Fund!O12</f>
        <v>-0</v>
      </c>
      <c r="E41" s="33" t="n">
        <f aca="false">$B$5*(Fund!F12-Fund!J12-Fund!K12-Fund!AH12-Fund!AG12-Fund!AD12)</f>
        <v>0.17574675072538</v>
      </c>
      <c r="F41" s="33" t="n">
        <f aca="false">B41+C41+D41+E41</f>
        <v>11.3399271056763</v>
      </c>
      <c r="G41" s="33" t="n">
        <f aca="false">$B$4-$B$5*Fund!P12</f>
        <v>28.51</v>
      </c>
      <c r="H41" s="33" t="n">
        <f aca="false">ROUND(F41-$B$5*Fund!T12,6)</f>
        <v>0</v>
      </c>
    </row>
    <row r="42" customFormat="false" ht="15" hidden="false" customHeight="false" outlineLevel="0" collapsed="false">
      <c r="A42" s="53" t="n">
        <f aca="false">Fund!B13</f>
        <v>45565</v>
      </c>
      <c r="B42" s="33" t="n">
        <f aca="false">$B$5*Fund!T12</f>
        <v>11.3399271056763</v>
      </c>
      <c r="C42" s="33" t="n">
        <f aca="false">$B$5*Fund!L13</f>
        <v>1.915</v>
      </c>
      <c r="D42" s="33" t="n">
        <f aca="false">-$B$5*Fund!O13</f>
        <v>-0</v>
      </c>
      <c r="E42" s="33" t="n">
        <f aca="false">$B$5*(Fund!F13-Fund!J13-Fund!K13-Fund!AH13-Fund!AG13-Fund!AD13)</f>
        <v>0.241273592092543</v>
      </c>
      <c r="F42" s="33" t="n">
        <f aca="false">B42+C42+D42+E42</f>
        <v>13.4962006977689</v>
      </c>
      <c r="G42" s="33" t="n">
        <f aca="false">$B$4-$B$5*Fund!P13</f>
        <v>26.595</v>
      </c>
      <c r="H42" s="33" t="n">
        <f aca="false">ROUND(F42-$B$5*Fund!T13,6)</f>
        <v>0</v>
      </c>
    </row>
    <row r="43" customFormat="false" ht="15" hidden="false" customHeight="false" outlineLevel="0" collapsed="false">
      <c r="A43" s="53" t="n">
        <f aca="false">Fund!B14</f>
        <v>45657</v>
      </c>
      <c r="B43" s="33" t="n">
        <f aca="false">$B$5*Fund!T13</f>
        <v>13.4962006977689</v>
      </c>
      <c r="C43" s="33" t="n">
        <f aca="false">$B$5*Fund!L14</f>
        <v>1.915</v>
      </c>
      <c r="D43" s="33" t="n">
        <f aca="false">-$B$5*Fund!O14</f>
        <v>-0</v>
      </c>
      <c r="E43" s="33" t="n">
        <f aca="false">$B$5*(Fund!F14-Fund!J14-Fund!K14-Fund!AH14-Fund!AG14-Fund!AD14)</f>
        <v>0.284905841265592</v>
      </c>
      <c r="F43" s="33" t="n">
        <f aca="false">B43+C43+D43+E43</f>
        <v>15.6961065390345</v>
      </c>
      <c r="G43" s="33" t="n">
        <f aca="false">$B$4-$B$5*Fund!P14</f>
        <v>24.68</v>
      </c>
      <c r="H43" s="33" t="n">
        <f aca="false">ROUND(F43-$B$5*Fund!T14,6)</f>
        <v>0</v>
      </c>
    </row>
    <row r="44" customFormat="false" ht="15" hidden="false" customHeight="false" outlineLevel="0" collapsed="false">
      <c r="A44" s="53" t="n">
        <f aca="false">Fund!B15</f>
        <v>45747</v>
      </c>
      <c r="B44" s="33" t="n">
        <f aca="false">$B$5*Fund!T14</f>
        <v>15.6961065390345</v>
      </c>
      <c r="C44" s="33" t="n">
        <f aca="false">$B$5*Fund!L15</f>
        <v>1.915</v>
      </c>
      <c r="D44" s="33" t="n">
        <f aca="false">-$B$5*Fund!O15</f>
        <v>-0</v>
      </c>
      <c r="E44" s="33" t="n">
        <f aca="false">$B$5*(Fund!F15-Fund!J15-Fund!K15-Fund!AH15-Fund!AG15-Fund!AD15)</f>
        <v>0.361664</v>
      </c>
      <c r="F44" s="33" t="n">
        <f aca="false">B44+C44+D44+E44</f>
        <v>17.9727705390345</v>
      </c>
      <c r="G44" s="33" t="n">
        <f aca="false">$B$4-$B$5*Fund!P15</f>
        <v>22.765</v>
      </c>
      <c r="H44" s="33" t="n">
        <f aca="false">ROUND(F44-$B$5*Fund!T15,6)</f>
        <v>0</v>
      </c>
    </row>
    <row r="45" customFormat="false" ht="15" hidden="false" customHeight="false" outlineLevel="0" collapsed="false">
      <c r="A45" s="53" t="n">
        <f aca="false">Fund!B16</f>
        <v>45838</v>
      </c>
      <c r="B45" s="33" t="n">
        <f aca="false">$B$5*Fund!T15</f>
        <v>17.9727705390345</v>
      </c>
      <c r="C45" s="33" t="n">
        <f aca="false">$B$5*Fund!L16</f>
        <v>1.915</v>
      </c>
      <c r="D45" s="33" t="n">
        <f aca="false">-$B$5*Fund!O16</f>
        <v>-0</v>
      </c>
      <c r="E45" s="33" t="n">
        <f aca="false">$B$5*(Fund!F16-Fund!J16-Fund!K16-Fund!AH16-Fund!AG16-Fund!AD16)</f>
        <v>0.441664932684759</v>
      </c>
      <c r="F45" s="33" t="n">
        <f aca="false">B45+C45+D45+E45</f>
        <v>20.3294354717192</v>
      </c>
      <c r="G45" s="33" t="n">
        <f aca="false">$B$4-$B$5*Fund!P16</f>
        <v>20.85</v>
      </c>
      <c r="H45" s="33" t="n">
        <f aca="false">ROUND(F45-$B$5*Fund!T16,6)</f>
        <v>0</v>
      </c>
    </row>
    <row r="46" customFormat="false" ht="15" hidden="false" customHeight="false" outlineLevel="0" collapsed="false">
      <c r="A46" s="53" t="n">
        <f aca="false">Fund!B17</f>
        <v>45930</v>
      </c>
      <c r="B46" s="33" t="n">
        <f aca="false">$B$5*Fund!T16</f>
        <v>20.3294354717192</v>
      </c>
      <c r="C46" s="33" t="n">
        <f aca="false">$B$5*Fund!L17</f>
        <v>1.915</v>
      </c>
      <c r="D46" s="33" t="n">
        <f aca="false">-$B$5*Fund!O17</f>
        <v>-0</v>
      </c>
      <c r="E46" s="33" t="n">
        <f aca="false">$B$5*(Fund!F17-Fund!J17-Fund!K17-Fund!AH17-Fund!AG17-Fund!AD17)</f>
        <v>0.525045635608817</v>
      </c>
      <c r="F46" s="33" t="n">
        <f aca="false">B46+C46+D46+E46</f>
        <v>22.769481107328</v>
      </c>
      <c r="G46" s="33" t="n">
        <f aca="false">$B$4-$B$5*Fund!P17</f>
        <v>18.935</v>
      </c>
      <c r="H46" s="33" t="n">
        <f aca="false">ROUND(F46-$B$5*Fund!T17,6)</f>
        <v>0</v>
      </c>
    </row>
    <row r="47" customFormat="false" ht="15" hidden="false" customHeight="false" outlineLevel="0" collapsed="false">
      <c r="A47" s="53" t="n">
        <f aca="false">Fund!B18</f>
        <v>46022</v>
      </c>
      <c r="B47" s="33" t="n">
        <f aca="false">$B$5*Fund!T17</f>
        <v>22.769481107328</v>
      </c>
      <c r="C47" s="33" t="n">
        <f aca="false">$B$5*Fund!L18</f>
        <v>1.915</v>
      </c>
      <c r="D47" s="33" t="n">
        <f aca="false">-$B$5*Fund!O18</f>
        <v>-0</v>
      </c>
      <c r="E47" s="33" t="n">
        <f aca="false">$B$5*(Fund!F18-Fund!J18-Fund!K18-Fund!AH18-Fund!AG18-Fund!AD18)</f>
        <v>0.611948892693398</v>
      </c>
      <c r="F47" s="33" t="n">
        <f aca="false">B47+C47+D47+E47</f>
        <v>25.2964300000214</v>
      </c>
      <c r="G47" s="33" t="n">
        <f aca="false">$B$4-$B$5*Fund!P18</f>
        <v>17.02</v>
      </c>
      <c r="H47" s="33" t="n">
        <f aca="false">ROUND(F47-$B$5*Fund!T18,6)</f>
        <v>0</v>
      </c>
    </row>
    <row r="48" customFormat="false" ht="15" hidden="false" customHeight="false" outlineLevel="0" collapsed="false">
      <c r="A48" s="53" t="n">
        <f aca="false">Fund!B19</f>
        <v>46112</v>
      </c>
      <c r="B48" s="33" t="n">
        <f aca="false">$B$5*Fund!T18</f>
        <v>25.2964300000214</v>
      </c>
      <c r="C48" s="33" t="n">
        <f aca="false">$B$5*Fund!L19</f>
        <v>1.915</v>
      </c>
      <c r="D48" s="33" t="n">
        <f aca="false">-$B$5*Fund!O19</f>
        <v>-0</v>
      </c>
      <c r="E48" s="33" t="n">
        <f aca="false">$B$5*(Fund!F19-Fund!J19-Fund!K19-Fund!AH19-Fund!AG19-Fund!AD19)</f>
        <v>0.70252352</v>
      </c>
      <c r="F48" s="33" t="n">
        <f aca="false">B48+C48+D48+E48</f>
        <v>27.9139535200214</v>
      </c>
      <c r="G48" s="33" t="n">
        <f aca="false">$B$4-$B$5*Fund!P19</f>
        <v>15.105</v>
      </c>
      <c r="H48" s="33" t="n">
        <f aca="false">ROUND(F48-$B$5*Fund!T19,6)</f>
        <v>0</v>
      </c>
    </row>
    <row r="49" customFormat="false" ht="15" hidden="false" customHeight="false" outlineLevel="0" collapsed="false">
      <c r="A49" s="53" t="n">
        <f aca="false">Fund!B20</f>
        <v>46203</v>
      </c>
      <c r="B49" s="33" t="n">
        <f aca="false">$B$5*Fund!T19</f>
        <v>27.9139535200214</v>
      </c>
      <c r="C49" s="33" t="n">
        <f aca="false">$B$5*Fund!L20</f>
        <v>1.915</v>
      </c>
      <c r="D49" s="33" t="n">
        <f aca="false">-$B$5*Fund!O20</f>
        <v>-0</v>
      </c>
      <c r="E49" s="33" t="n">
        <f aca="false">$B$5*(Fund!F20-Fund!J20-Fund!K20-Fund!AH20-Fund!AG20-Fund!AD20)</f>
        <v>0.796924620568015</v>
      </c>
      <c r="F49" s="33" t="n">
        <f aca="false">B49+C49+D49+E49</f>
        <v>30.6258781405895</v>
      </c>
      <c r="G49" s="33" t="n">
        <f aca="false">$B$4-$B$5*Fund!P20</f>
        <v>13.19</v>
      </c>
      <c r="H49" s="33" t="n">
        <f aca="false">ROUND(F49-$B$5*Fund!T20,6)</f>
        <v>0</v>
      </c>
    </row>
    <row r="50" customFormat="false" ht="15" hidden="false" customHeight="false" outlineLevel="0" collapsed="false">
      <c r="A50" s="53" t="n">
        <f aca="false">Fund!B21</f>
        <v>46295</v>
      </c>
      <c r="B50" s="33" t="n">
        <f aca="false">$B$5*Fund!T20</f>
        <v>30.6258781405895</v>
      </c>
      <c r="C50" s="33" t="n">
        <f aca="false">$B$5*Fund!L21</f>
        <v>1.915</v>
      </c>
      <c r="D50" s="33" t="n">
        <f aca="false">-$B$5*Fund!O21</f>
        <v>-0</v>
      </c>
      <c r="E50" s="33" t="n">
        <f aca="false">$B$5*(Fund!F21-Fund!J21-Fund!K21-Fund!AH21-Fund!AG21-Fund!AD21)</f>
        <v>0.895313850018402</v>
      </c>
      <c r="F50" s="33" t="n">
        <f aca="false">B50+C50+D50+E50</f>
        <v>33.4361919906079</v>
      </c>
      <c r="G50" s="33" t="n">
        <f aca="false">$B$4-$B$5*Fund!P21</f>
        <v>11.275</v>
      </c>
      <c r="H50" s="33" t="n">
        <f aca="false">ROUND(F50-$B$5*Fund!T21,6)</f>
        <v>0</v>
      </c>
    </row>
    <row r="51" customFormat="false" ht="15" hidden="false" customHeight="false" outlineLevel="0" collapsed="false">
      <c r="A51" s="53" t="n">
        <f aca="false">Fund!B22</f>
        <v>46387</v>
      </c>
      <c r="B51" s="33" t="n">
        <f aca="false">$B$5*Fund!T21</f>
        <v>33.4361919906079</v>
      </c>
      <c r="C51" s="33" t="n">
        <f aca="false">$B$5*Fund!L22</f>
        <v>1.915</v>
      </c>
      <c r="D51" s="33" t="n">
        <f aca="false">-$B$5*Fund!O22</f>
        <v>-0</v>
      </c>
      <c r="E51" s="33" t="n">
        <f aca="false">$B$5*(Fund!F22-Fund!J22-Fund!K22-Fund!AH22-Fund!AG22-Fund!AD22)</f>
        <v>0.99785969337821</v>
      </c>
      <c r="F51" s="33" t="n">
        <f aca="false">B51+C51+D51+E51</f>
        <v>36.3490516839861</v>
      </c>
      <c r="G51" s="33" t="n">
        <f aca="false">$B$4-$B$5*Fund!P22</f>
        <v>9.36</v>
      </c>
      <c r="H51" s="33" t="n">
        <f aca="false">ROUND(F51-$B$5*Fund!T22,6)</f>
        <v>0</v>
      </c>
    </row>
    <row r="52" customFormat="false" ht="15" hidden="false" customHeight="false" outlineLevel="0" collapsed="false">
      <c r="A52" s="53" t="n">
        <f aca="false">Fund!B23</f>
        <v>46477</v>
      </c>
      <c r="B52" s="33" t="n">
        <f aca="false">$B$5*Fund!T22</f>
        <v>36.3490516839861</v>
      </c>
      <c r="C52" s="33" t="n">
        <f aca="false">$B$5*Fund!L23</f>
        <v>1.915</v>
      </c>
      <c r="D52" s="33" t="n">
        <f aca="false">-$B$5*Fund!O23</f>
        <v>-1.6428894718793</v>
      </c>
      <c r="E52" s="33" t="n">
        <f aca="false">$B$5*(Fund!F23-Fund!J23-Fund!K23-Fund!AH23-Fund!AG23-Fund!AD23)</f>
        <v>1.1047377536</v>
      </c>
      <c r="F52" s="33" t="n">
        <f aca="false">B52+C52+D52+E52</f>
        <v>37.7258999657068</v>
      </c>
      <c r="G52" s="33" t="n">
        <f aca="false">$B$4-$B$5*Fund!P23</f>
        <v>7.445</v>
      </c>
      <c r="H52" s="33" t="n">
        <f aca="false">ROUND(F52-$B$5*Fund!T23,6)</f>
        <v>0</v>
      </c>
    </row>
    <row r="53" customFormat="false" ht="15" hidden="false" customHeight="false" outlineLevel="0" collapsed="false">
      <c r="A53" s="53" t="n">
        <f aca="false">Fund!B24</f>
        <v>46568</v>
      </c>
      <c r="B53" s="33" t="n">
        <f aca="false">$B$5*Fund!T23</f>
        <v>37.7258999657068</v>
      </c>
      <c r="C53" s="33" t="n">
        <f aca="false">$B$5*Fund!L24</f>
        <v>1.915</v>
      </c>
      <c r="D53" s="33" t="n">
        <f aca="false">-$B$5*Fund!O24</f>
        <v>-2.35373075233052</v>
      </c>
      <c r="E53" s="33" t="n">
        <f aca="false">$B$5*(Fund!F24-Fund!J24-Fund!K24-Fund!AH24-Fund!AG24-Fund!AD24)</f>
        <v>1.16060581017945</v>
      </c>
      <c r="F53" s="33" t="n">
        <f aca="false">B53+C53+D53+E53</f>
        <v>38.4477750235557</v>
      </c>
      <c r="G53" s="33" t="n">
        <f aca="false">$B$4-$B$5*Fund!P24</f>
        <v>5.53000000000001</v>
      </c>
      <c r="H53" s="33" t="n">
        <f aca="false">ROUND(F53-$B$5*Fund!T24,6)</f>
        <v>0</v>
      </c>
    </row>
    <row r="54" customFormat="false" ht="15" hidden="false" customHeight="false" outlineLevel="0" collapsed="false">
      <c r="A54" s="53" t="n">
        <f aca="false">Fund!B25</f>
        <v>46660</v>
      </c>
      <c r="B54" s="33" t="n">
        <f aca="false">$B$5*Fund!T24</f>
        <v>38.4477750235557</v>
      </c>
      <c r="C54" s="33" t="n">
        <f aca="false">$B$5*Fund!L25</f>
        <v>1.915</v>
      </c>
      <c r="D54" s="33" t="n">
        <f aca="false">-$B$5*Fund!O25</f>
        <v>-3.06949200692947</v>
      </c>
      <c r="E54" s="33" t="n">
        <f aca="false">$B$5*(Fund!F25-Fund!J25-Fund!K25-Fund!AH25-Fund!AG25-Fund!AD25)</f>
        <v>1.19480958222484</v>
      </c>
      <c r="F54" s="33" t="n">
        <f aca="false">B54+C54+D54+E54</f>
        <v>38.4880925988511</v>
      </c>
      <c r="G54" s="33" t="n">
        <f aca="false">$B$4-$B$5*Fund!P25</f>
        <v>3.61500000000001</v>
      </c>
      <c r="H54" s="33" t="n">
        <f aca="false">ROUND(F54-$B$5*Fund!T25,6)</f>
        <v>0</v>
      </c>
    </row>
    <row r="55" customFormat="false" ht="15" hidden="false" customHeight="false" outlineLevel="0" collapsed="false">
      <c r="A55" s="53" t="n">
        <f aca="false">Fund!B26</f>
        <v>46752</v>
      </c>
      <c r="B55" s="33" t="n">
        <f aca="false">$B$5*Fund!T25</f>
        <v>38.4880925988511</v>
      </c>
      <c r="C55" s="33" t="n">
        <f aca="false">$B$5*Fund!L26</f>
        <v>1.915</v>
      </c>
      <c r="D55" s="33" t="n">
        <f aca="false">-$B$5*Fund!O26</f>
        <v>-3.75727440016631</v>
      </c>
      <c r="E55" s="33" t="n">
        <f aca="false">$B$5*(Fund!F26-Fund!J26-Fund!K26-Fund!AH26-Fund!AG26-Fund!AD26)</f>
        <v>1.20626754472162</v>
      </c>
      <c r="F55" s="33" t="n">
        <f aca="false">B55+C55+D55+E55</f>
        <v>37.8520857434064</v>
      </c>
      <c r="G55" s="33" t="n">
        <f aca="false">$B$4-$B$5*Fund!P26</f>
        <v>1.70000000000001</v>
      </c>
      <c r="H55" s="33" t="n">
        <f aca="false">ROUND(F55-$B$5*Fund!T26,6)</f>
        <v>0</v>
      </c>
    </row>
    <row r="56" customFormat="false" ht="15" hidden="false" customHeight="false" outlineLevel="0" collapsed="false">
      <c r="A56" s="53" t="n">
        <f aca="false">Fund!B27</f>
        <v>46843</v>
      </c>
      <c r="B56" s="33" t="n">
        <f aca="false">$B$5*Fund!T26</f>
        <v>37.8520857434064</v>
      </c>
      <c r="C56" s="33" t="n">
        <f aca="false">$B$5*Fund!L27</f>
        <v>0</v>
      </c>
      <c r="D56" s="33" t="n">
        <f aca="false">-$B$5*Fund!O27</f>
        <v>-9.6827638196127</v>
      </c>
      <c r="E56" s="33" t="n">
        <f aca="false">$B$5*(Fund!F27-Fund!J27-Fund!K27-Fund!AH27-Fund!AG27-Fund!AD27)</f>
        <v>1.18809948039066</v>
      </c>
      <c r="F56" s="33" t="n">
        <f aca="false">B56+C56+D56+E56</f>
        <v>29.3574214041843</v>
      </c>
      <c r="G56" s="33" t="n">
        <f aca="false">$B$4-$B$5*Fund!P27</f>
        <v>1.70000000000001</v>
      </c>
      <c r="H56" s="33" t="n">
        <f aca="false">ROUND(F56-$B$5*Fund!T27,6)</f>
        <v>0</v>
      </c>
    </row>
    <row r="57" customFormat="false" ht="15" hidden="false" customHeight="false" outlineLevel="0" collapsed="false">
      <c r="A57" s="53" t="n">
        <f aca="false">Fund!B28</f>
        <v>46934</v>
      </c>
      <c r="B57" s="33" t="n">
        <f aca="false">$B$5*Fund!T27</f>
        <v>29.3574214041843</v>
      </c>
      <c r="C57" s="33" t="n">
        <f aca="false">$B$5*Fund!L28</f>
        <v>0</v>
      </c>
      <c r="D57" s="33" t="n">
        <f aca="false">-$B$5*Fund!O28</f>
        <v>-3.19650964612928</v>
      </c>
      <c r="E57" s="33" t="n">
        <f aca="false">$B$5*(Fund!F28-Fund!J28-Fund!K28-Fund!AH28-Fund!AG28-Fund!AD28)</f>
        <v>1.05398921535278</v>
      </c>
      <c r="F57" s="33" t="n">
        <f aca="false">B57+C57+D57+E57</f>
        <v>27.2149009734078</v>
      </c>
      <c r="G57" s="33" t="n">
        <f aca="false">$B$4-$B$5*Fund!P28</f>
        <v>1.70000000000001</v>
      </c>
      <c r="H57" s="33" t="n">
        <f aca="false">ROUND(F57-$B$5*Fund!T28,6)</f>
        <v>0</v>
      </c>
    </row>
    <row r="58" customFormat="false" ht="15" hidden="false" customHeight="false" outlineLevel="0" collapsed="false">
      <c r="A58" s="53" t="n">
        <f aca="false">Fund!B29</f>
        <v>47026</v>
      </c>
      <c r="B58" s="33" t="n">
        <f aca="false">$B$5*Fund!T28</f>
        <v>27.2149009734078</v>
      </c>
      <c r="C58" s="33" t="n">
        <f aca="false">$B$5*Fund!L29</f>
        <v>0</v>
      </c>
      <c r="D58" s="33" t="n">
        <f aca="false">-$B$5*Fund!O29</f>
        <v>-3.36839899484882</v>
      </c>
      <c r="E58" s="33" t="n">
        <f aca="false">$B$5*(Fund!F29-Fund!J29-Fund!K29-Fund!AH29-Fund!AG29-Fund!AD29)</f>
        <v>0.982484787476261</v>
      </c>
      <c r="F58" s="33" t="n">
        <f aca="false">B58+C58+D58+E58</f>
        <v>24.8289867660353</v>
      </c>
      <c r="G58" s="33" t="n">
        <f aca="false">$B$4-$B$5*Fund!P29</f>
        <v>1.70000000000001</v>
      </c>
      <c r="H58" s="33" t="n">
        <f aca="false">ROUND(F58-$B$5*Fund!T29,6)</f>
        <v>0</v>
      </c>
    </row>
    <row r="59" customFormat="false" ht="15" hidden="false" customHeight="false" outlineLevel="0" collapsed="false">
      <c r="A59" s="53" t="n">
        <f aca="false">Fund!B30</f>
        <v>47118</v>
      </c>
      <c r="B59" s="33" t="n">
        <f aca="false">$B$5*Fund!T29</f>
        <v>24.8289867660353</v>
      </c>
      <c r="C59" s="33" t="n">
        <f aca="false">$B$5*Fund!L30</f>
        <v>0</v>
      </c>
      <c r="D59" s="33" t="n">
        <f aca="false">-$B$5*Fund!O30</f>
        <v>-3.4369927439018</v>
      </c>
      <c r="E59" s="33" t="n">
        <f aca="false">$B$5*(Fund!F30-Fund!J30-Fund!K30-Fund!AH30-Fund!AG30-Fund!AD30)</f>
        <v>0.902200710095668</v>
      </c>
      <c r="F59" s="33" t="n">
        <f aca="false">B59+C59+D59+E59</f>
        <v>22.2941947322291</v>
      </c>
      <c r="G59" s="33" t="n">
        <f aca="false">$B$4-$B$5*Fund!P30</f>
        <v>1.70000000000001</v>
      </c>
      <c r="H59" s="33" t="n">
        <f aca="false">ROUND(F59-$B$5*Fund!T30,6)</f>
        <v>0</v>
      </c>
    </row>
    <row r="60" customFormat="false" ht="15" hidden="false" customHeight="false" outlineLevel="0" collapsed="false">
      <c r="A60" s="53" t="n">
        <f aca="false">Fund!B31</f>
        <v>47208</v>
      </c>
      <c r="B60" s="33" t="n">
        <f aca="false">$B$5*Fund!T30</f>
        <v>22.2941947322291</v>
      </c>
      <c r="C60" s="33" t="n">
        <f aca="false">$B$5*Fund!L31</f>
        <v>0</v>
      </c>
      <c r="D60" s="33" t="n">
        <f aca="false">-$B$5*Fund!O31</f>
        <v>-3.40600046431699</v>
      </c>
      <c r="E60" s="33" t="n">
        <f aca="false">$B$5*(Fund!F31-Fund!J31-Fund!K31-Fund!AH31-Fund!AG31-Fund!AD31)</f>
        <v>0.816420857894185</v>
      </c>
      <c r="F60" s="33" t="n">
        <f aca="false">B60+C60+D60+E60</f>
        <v>19.7046151258063</v>
      </c>
      <c r="G60" s="33" t="n">
        <f aca="false">$B$4-$B$5*Fund!P31</f>
        <v>1.70000000000001</v>
      </c>
      <c r="H60" s="33" t="n">
        <f aca="false">ROUND(F60-$B$5*Fund!T31,6)</f>
        <v>0</v>
      </c>
    </row>
    <row r="61" customFormat="false" ht="15" hidden="false" customHeight="false" outlineLevel="0" collapsed="false">
      <c r="A61" s="53" t="n">
        <f aca="false">Fund!B32</f>
        <v>47299</v>
      </c>
      <c r="B61" s="33" t="n">
        <f aca="false">$B$5*Fund!T31</f>
        <v>19.7046151258064</v>
      </c>
      <c r="C61" s="33" t="n">
        <f aca="false">$B$5*Fund!L32</f>
        <v>0</v>
      </c>
      <c r="D61" s="33" t="n">
        <f aca="false">-$B$5*Fund!O32</f>
        <v>-3.28498473107348</v>
      </c>
      <c r="E61" s="33" t="n">
        <f aca="false">$B$5*(Fund!F32-Fund!J32-Fund!K32-Fund!AH32-Fund!AG32-Fund!AD32)</f>
        <v>0.728425454703918</v>
      </c>
      <c r="F61" s="33" t="n">
        <f aca="false">B61+C61+D61+E61</f>
        <v>17.1480558494368</v>
      </c>
      <c r="G61" s="33" t="n">
        <f aca="false">$B$4-$B$5*Fund!P32</f>
        <v>1.70000000000001</v>
      </c>
      <c r="H61" s="33" t="n">
        <f aca="false">ROUND(F61-$B$5*Fund!T32,6)</f>
        <v>0</v>
      </c>
    </row>
    <row r="62" customFormat="false" ht="15" hidden="false" customHeight="false" outlineLevel="0" collapsed="false">
      <c r="A62" s="53" t="n">
        <f aca="false">Fund!B33</f>
        <v>47391</v>
      </c>
      <c r="B62" s="33" t="n">
        <f aca="false">$B$5*Fund!T32</f>
        <v>17.1480558494368</v>
      </c>
      <c r="C62" s="33" t="n">
        <f aca="false">$B$5*Fund!L33</f>
        <v>0</v>
      </c>
      <c r="D62" s="33" t="n">
        <f aca="false">-$B$5*Fund!O33</f>
        <v>-3.41301323273545</v>
      </c>
      <c r="E62" s="33" t="n">
        <f aca="false">$B$5*(Fund!F33-Fund!J33-Fund!K33-Fund!AH33-Fund!AG33-Fund!AD33)</f>
        <v>0.641285708627368</v>
      </c>
      <c r="F62" s="33" t="n">
        <f aca="false">B62+C62+D62+E62</f>
        <v>14.3763283253287</v>
      </c>
      <c r="G62" s="33" t="n">
        <f aca="false">$B$4-$B$5*Fund!P33</f>
        <v>1.70000000000001</v>
      </c>
      <c r="H62" s="33" t="n">
        <f aca="false">ROUND(F62-$B$5*Fund!T33,6)</f>
        <v>0</v>
      </c>
    </row>
    <row r="63" customFormat="false" ht="15" hidden="false" customHeight="false" outlineLevel="0" collapsed="false">
      <c r="A63" s="53" t="n">
        <f aca="false">Fund!B34</f>
        <v>47483</v>
      </c>
      <c r="B63" s="33" t="n">
        <f aca="false">$B$5*Fund!T33</f>
        <v>14.3763283253287</v>
      </c>
      <c r="C63" s="33" t="n">
        <f aca="false">$B$5*Fund!L34</f>
        <v>0</v>
      </c>
      <c r="D63" s="33" t="n">
        <f aca="false">-$B$5*Fund!O34</f>
        <v>-3.00574313337432</v>
      </c>
      <c r="E63" s="33" t="n">
        <f aca="false">$B$5*(Fund!F34-Fund!J34-Fund!K34-Fund!AH34-Fund!AG34-Fund!AD34)</f>
        <v>0.541440270740562</v>
      </c>
      <c r="F63" s="33" t="n">
        <f aca="false">B63+C63+D63+E63</f>
        <v>11.912025462695</v>
      </c>
      <c r="G63" s="33" t="n">
        <f aca="false">$B$4-$B$5*Fund!P34</f>
        <v>1.70000000000001</v>
      </c>
      <c r="H63" s="33" t="n">
        <f aca="false">ROUND(F63-$B$5*Fund!T34,6)</f>
        <v>0</v>
      </c>
    </row>
    <row r="64" customFormat="false" ht="15" hidden="false" customHeight="false" outlineLevel="0" collapsed="false">
      <c r="A64" s="53" t="n">
        <f aca="false">Fund!B35</f>
        <v>47573</v>
      </c>
      <c r="B64" s="33" t="n">
        <f aca="false">$B$5*Fund!T34</f>
        <v>11.912025462695</v>
      </c>
      <c r="C64" s="33" t="n">
        <f aca="false">$B$5*Fund!L35</f>
        <v>0</v>
      </c>
      <c r="D64" s="33" t="n">
        <f aca="false">-$B$5*Fund!O35</f>
        <v>-2.67468896570694</v>
      </c>
      <c r="E64" s="33" t="n">
        <f aca="false">$B$5*(Fund!F35-Fund!J35-Fund!K35-Fund!AH35-Fund!AG35-Fund!AD35)</f>
        <v>0.446572901783782</v>
      </c>
      <c r="F64" s="33" t="n">
        <f aca="false">B64+C64+D64+E64</f>
        <v>9.6839093987718</v>
      </c>
      <c r="G64" s="33" t="n">
        <f aca="false">$B$4-$B$5*Fund!P35</f>
        <v>1.70000000000001</v>
      </c>
      <c r="H64" s="33" t="n">
        <f aca="false">ROUND(F64-$B$5*Fund!T35,6)</f>
        <v>0</v>
      </c>
    </row>
    <row r="65" customFormat="false" ht="15" hidden="false" customHeight="false" outlineLevel="0" collapsed="false">
      <c r="A65" s="53" t="n">
        <f aca="false">Fund!B36</f>
        <v>47664</v>
      </c>
      <c r="B65" s="33" t="n">
        <f aca="false">$B$5*Fund!T35</f>
        <v>9.6839093987718</v>
      </c>
      <c r="C65" s="33" t="n">
        <f aca="false">$B$5*Fund!L36</f>
        <v>0</v>
      </c>
      <c r="D65" s="33" t="n">
        <f aca="false">-$B$5*Fund!O36</f>
        <v>-2.32354550715404</v>
      </c>
      <c r="E65" s="33" t="n">
        <f aca="false">$B$5*(Fund!F36-Fund!J36-Fund!K36-Fund!AH36-Fund!AG36-Fund!AD36)</f>
        <v>0.360797929916559</v>
      </c>
      <c r="F65" s="33" t="n">
        <f aca="false">B65+C65+D65+E65</f>
        <v>7.72116182153432</v>
      </c>
      <c r="G65" s="33" t="n">
        <f aca="false">$B$4-$B$5*Fund!P36</f>
        <v>1.70000000000001</v>
      </c>
      <c r="H65" s="33" t="n">
        <f aca="false">ROUND(F65-$B$5*Fund!T36,6)</f>
        <v>0</v>
      </c>
    </row>
    <row r="66" customFormat="false" ht="15" hidden="false" customHeight="false" outlineLevel="0" collapsed="false">
      <c r="A66" s="53" t="n">
        <f aca="false">Fund!B37</f>
        <v>47756</v>
      </c>
      <c r="B66" s="33" t="n">
        <f aca="false">$B$5*Fund!T36</f>
        <v>7.72116182153432</v>
      </c>
      <c r="C66" s="33" t="n">
        <f aca="false">$B$5*Fund!L37</f>
        <v>0</v>
      </c>
      <c r="D66" s="33" t="n">
        <f aca="false">-$B$5*Fund!O37</f>
        <v>-1.97088437574623</v>
      </c>
      <c r="E66" s="33" t="n">
        <f aca="false">$B$5*(Fund!F37-Fund!J37-Fund!K37-Fund!AH37-Fund!AG37-Fund!AD37)</f>
        <v>0.285238751942869</v>
      </c>
      <c r="F66" s="33" t="n">
        <f aca="false">B66+C66+D66+E66</f>
        <v>6.03551619773096</v>
      </c>
      <c r="G66" s="33" t="n">
        <f aca="false">$B$4-$B$5*Fund!P37</f>
        <v>1.70000000000001</v>
      </c>
      <c r="H66" s="33" t="n">
        <f aca="false">ROUND(F66-$B$5*Fund!T37,6)</f>
        <v>0</v>
      </c>
    </row>
    <row r="67" customFormat="false" ht="15" hidden="false" customHeight="false" outlineLevel="0" collapsed="false">
      <c r="A67" s="53" t="n">
        <f aca="false">Fund!B38</f>
        <v>47848</v>
      </c>
      <c r="B67" s="33" t="n">
        <f aca="false">$B$5*Fund!T37</f>
        <v>6.03551619773096</v>
      </c>
      <c r="C67" s="33" t="n">
        <f aca="false">$B$5*Fund!L38</f>
        <v>0</v>
      </c>
      <c r="D67" s="33" t="n">
        <f aca="false">-$B$5*Fund!O38</f>
        <v>-1.63234837359522</v>
      </c>
      <c r="E67" s="33" t="n">
        <f aca="false">$B$5*(Fund!F38-Fund!J38-Fund!K38-Fund!AH38-Fund!AG38-Fund!AD38)</f>
        <v>0.220347066854772</v>
      </c>
      <c r="F67" s="33" t="n">
        <f aca="false">B67+C67+D67+E67</f>
        <v>4.62351489099051</v>
      </c>
      <c r="G67" s="33" t="n">
        <f aca="false">$B$4-$B$5*Fund!P38</f>
        <v>1.70000000000001</v>
      </c>
      <c r="H67" s="33" t="n">
        <f aca="false">ROUND(F67-$B$5*Fund!T38,6)</f>
        <v>0</v>
      </c>
    </row>
    <row r="68" customFormat="false" ht="15" hidden="false" customHeight="false" outlineLevel="0" collapsed="false">
      <c r="A68" s="53" t="n">
        <f aca="false">Fund!B39</f>
        <v>47938</v>
      </c>
      <c r="B68" s="33" t="n">
        <f aca="false">$B$5*Fund!T38</f>
        <v>4.62351489099051</v>
      </c>
      <c r="C68" s="33" t="n">
        <f aca="false">$B$5*Fund!L39</f>
        <v>0</v>
      </c>
      <c r="D68" s="33" t="n">
        <f aca="false">-$B$5*Fund!O39</f>
        <v>-1.31993781411156</v>
      </c>
      <c r="E68" s="33" t="n">
        <f aca="false">$B$5*(Fund!F39-Fund!J39-Fund!K39-Fund!AH39-Fund!AG39-Fund!AD39)</f>
        <v>0.165989767285333</v>
      </c>
      <c r="F68" s="33" t="n">
        <f aca="false">B68+C68+D68+E68</f>
        <v>3.46956684416428</v>
      </c>
      <c r="G68" s="33" t="n">
        <f aca="false">$B$4-$B$5*Fund!P39</f>
        <v>1.70000000000001</v>
      </c>
      <c r="H68" s="33" t="n">
        <f aca="false">ROUND(F68-$B$5*Fund!T39,6)</f>
        <v>0</v>
      </c>
    </row>
    <row r="69" customFormat="false" ht="15" hidden="false" customHeight="false" outlineLevel="0" collapsed="false">
      <c r="A69" s="53" t="n">
        <f aca="false">Fund!B40</f>
        <v>48029</v>
      </c>
      <c r="B69" s="33" t="n">
        <f aca="false">$B$5*Fund!T39</f>
        <v>3.46956684416428</v>
      </c>
      <c r="C69" s="33" t="n">
        <f aca="false">$B$5*Fund!L40</f>
        <v>0</v>
      </c>
      <c r="D69" s="33" t="n">
        <f aca="false">-$B$5*Fund!O40</f>
        <v>-1.04175171343159</v>
      </c>
      <c r="E69" s="33" t="n">
        <f aca="false">$B$5*(Fund!F40-Fund!J40-Fund!K40-Fund!AH40-Fund!AG40-Fund!AD40)</f>
        <v>0.121566649991132</v>
      </c>
      <c r="F69" s="33" t="n">
        <f aca="false">B69+C69+D69+E69</f>
        <v>2.54938178072383</v>
      </c>
      <c r="G69" s="33" t="n">
        <f aca="false">$B$4-$B$5*Fund!P40</f>
        <v>1.70000000000001</v>
      </c>
      <c r="H69" s="33" t="n">
        <f aca="false">ROUND(F69-$B$5*Fund!T40,6)</f>
        <v>0</v>
      </c>
    </row>
    <row r="70" customFormat="false" ht="15" hidden="false" customHeight="false" outlineLevel="0" collapsed="false">
      <c r="A70" s="53" t="n">
        <f aca="false">Fund!B41</f>
        <v>48121</v>
      </c>
      <c r="B70" s="33" t="n">
        <f aca="false">$B$5*Fund!T40</f>
        <v>2.54938178072383</v>
      </c>
      <c r="C70" s="33" t="n">
        <f aca="false">$B$5*Fund!L41</f>
        <v>0</v>
      </c>
      <c r="D70" s="33" t="n">
        <f aca="false">-$B$5*Fund!O41</f>
        <v>-0.802136039192733</v>
      </c>
      <c r="E70" s="33" t="n">
        <f aca="false">$B$5*(Fund!F41-Fund!J41-Fund!K41-Fund!AH41-Fund!AG41-Fund!AD41)</f>
        <v>0.0861426210515116</v>
      </c>
      <c r="F70" s="33" t="n">
        <f aca="false">B70+C70+D70+E70</f>
        <v>1.83338836258261</v>
      </c>
      <c r="G70" s="33" t="n">
        <f aca="false">$B$4-$B$5*Fund!P41</f>
        <v>1.70000000000001</v>
      </c>
      <c r="H70" s="33" t="n">
        <f aca="false">ROUND(F70-$B$5*Fund!T41,6)</f>
        <v>0</v>
      </c>
    </row>
    <row r="71" customFormat="false" ht="15" hidden="false" customHeight="false" outlineLevel="0" collapsed="false">
      <c r="A71" s="53" t="n">
        <f aca="false">Fund!B42</f>
        <v>48213</v>
      </c>
      <c r="B71" s="33" t="n">
        <f aca="false">$B$5*Fund!T41</f>
        <v>1.83338836258261</v>
      </c>
      <c r="C71" s="33" t="n">
        <f aca="false">$B$5*Fund!L42</f>
        <v>0</v>
      </c>
      <c r="D71" s="33" t="n">
        <f aca="false">-$B$5*Fund!O42</f>
        <v>-0.602148720665926</v>
      </c>
      <c r="E71" s="33" t="n">
        <f aca="false">$B$5*(Fund!F42-Fund!J42-Fund!K42-Fund!AH42-Fund!AG42-Fund!AD42)</f>
        <v>0.0585792834442036</v>
      </c>
      <c r="F71" s="33" t="n">
        <f aca="false">B71+C71+D71+E71</f>
        <v>1.28981892536088</v>
      </c>
      <c r="G71" s="33" t="n">
        <f aca="false">$B$4-$B$5*Fund!P42</f>
        <v>1.70000000000001</v>
      </c>
      <c r="H71" s="33" t="n">
        <f aca="false">ROUND(F71-$B$5*Fund!T42,6)</f>
        <v>0</v>
      </c>
    </row>
    <row r="72" customFormat="false" ht="15" hidden="false" customHeight="false" outlineLevel="0" collapsed="false">
      <c r="A72" s="53" t="n">
        <f aca="false">Fund!B43</f>
        <v>48304</v>
      </c>
      <c r="B72" s="33" t="n">
        <f aca="false">$B$5*Fund!T42</f>
        <v>1.28981892536088</v>
      </c>
      <c r="C72" s="33" t="n">
        <f aca="false">$B$5*Fund!L43</f>
        <v>0</v>
      </c>
      <c r="D72" s="33" t="n">
        <f aca="false">-$B$5*Fund!O43</f>
        <v>-0.440228387033689</v>
      </c>
      <c r="E72" s="33" t="n">
        <f aca="false">$B$5*(Fund!F43-Fund!J43-Fund!K43-Fund!AH43-Fund!AG43-Fund!AD43)</f>
        <v>0.0376536889742824</v>
      </c>
      <c r="F72" s="33" t="n">
        <f aca="false">B72+C72+D72+E72</f>
        <v>0.887244227301477</v>
      </c>
      <c r="G72" s="33" t="n">
        <f aca="false">$B$4-$B$5*Fund!P43</f>
        <v>1.70000000000001</v>
      </c>
      <c r="H72" s="33" t="n">
        <f aca="false">ROUND(F72-$B$5*Fund!T43,6)</f>
        <v>0</v>
      </c>
    </row>
    <row r="73" customFormat="false" ht="15" hidden="false" customHeight="false" outlineLevel="0" collapsed="false">
      <c r="A73" s="53" t="n">
        <f aca="false">Fund!B44</f>
        <v>48395</v>
      </c>
      <c r="B73" s="33" t="n">
        <f aca="false">$B$5*Fund!T43</f>
        <v>0.887244227301477</v>
      </c>
      <c r="C73" s="33" t="n">
        <f aca="false">$B$5*Fund!L44</f>
        <v>0</v>
      </c>
      <c r="D73" s="33" t="n">
        <f aca="false">-$B$5*Fund!O44</f>
        <v>-0.312951029457837</v>
      </c>
      <c r="E73" s="33" t="n">
        <f aca="false">$B$5*(Fund!F44-Fund!J44-Fund!K44-Fund!AH44-Fund!AG44-Fund!AD44)</f>
        <v>0.0221559175791512</v>
      </c>
      <c r="F73" s="33" t="n">
        <f aca="false">B73+C73+D73+E73</f>
        <v>0.59644911542279</v>
      </c>
      <c r="G73" s="33" t="n">
        <f aca="false">$B$4-$B$5*Fund!P44</f>
        <v>1.70000000000001</v>
      </c>
      <c r="H73" s="33" t="n">
        <f aca="false">ROUND(F73-$B$5*Fund!T44,6)</f>
        <v>0</v>
      </c>
    </row>
    <row r="74" customFormat="false" ht="15" hidden="false" customHeight="false" outlineLevel="0" collapsed="false">
      <c r="A74" s="53" t="n">
        <f aca="false">Fund!B45</f>
        <v>48487</v>
      </c>
      <c r="B74" s="33" t="n">
        <f aca="false">$B$5*Fund!T44</f>
        <v>0.59644911542279</v>
      </c>
      <c r="C74" s="33" t="n">
        <f aca="false">$B$5*Fund!L45</f>
        <v>0</v>
      </c>
      <c r="D74" s="33" t="n">
        <f aca="false">-$B$5*Fund!O45</f>
        <v>-0.215772736812177</v>
      </c>
      <c r="E74" s="33" t="n">
        <f aca="false">$B$5*(Fund!F45-Fund!J45-Fund!K45-Fund!AH45-Fund!AG45-Fund!AD45)</f>
        <v>0.0109612841646763</v>
      </c>
      <c r="F74" s="33" t="n">
        <f aca="false">B74+C74+D74+E74</f>
        <v>0.39163766277529</v>
      </c>
      <c r="G74" s="33" t="n">
        <f aca="false">$B$4-$B$5*Fund!P45</f>
        <v>1.70000000000001</v>
      </c>
      <c r="H74" s="33" t="n">
        <f aca="false">ROUND(F74-$B$5*Fund!T45,6)</f>
        <v>0</v>
      </c>
    </row>
    <row r="75" customFormat="false" ht="15" hidden="false" customHeight="false" outlineLevel="0" collapsed="false">
      <c r="A75" s="53" t="n">
        <f aca="false">Fund!B46</f>
        <v>48579</v>
      </c>
      <c r="B75" s="33" t="n">
        <f aca="false">$B$5*Fund!T45</f>
        <v>0.39163766277529</v>
      </c>
      <c r="C75" s="33" t="n">
        <f aca="false">$B$5*Fund!L46</f>
        <v>0</v>
      </c>
      <c r="D75" s="33" t="n">
        <f aca="false">-$B$5*Fund!O46</f>
        <v>-0.394714395110117</v>
      </c>
      <c r="E75" s="33" t="n">
        <f aca="false">$B$5*(Fund!F46-Fund!J46-Fund!K46-Fund!AH46-Fund!AG46-Fund!AD46)</f>
        <v>0.00307673233482711</v>
      </c>
      <c r="F75" s="33" t="n">
        <f aca="false">B75+C75+D75+E75</f>
        <v>3.07913416985883E-017</v>
      </c>
      <c r="G75" s="33" t="n">
        <f aca="false">$B$4-$B$5*Fund!P46</f>
        <v>1.70000000000001</v>
      </c>
      <c r="H75" s="33" t="n">
        <f aca="false">ROUND(F75-$B$5*Fund!T46,6)</f>
        <v>0</v>
      </c>
    </row>
  </sheetData>
  <mergeCells count="1">
    <mergeCell ref="B3:C3"/>
  </mergeCells>
  <dataValidations count="1">
    <dataValidation allowBlank="false" errorStyle="stop" operator="between" showDropDown="false" showErrorMessage="false" showInputMessage="false" sqref="B3" type="list">
      <formula1>Inputs!$A$9:$A$12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16"/>
    <col collapsed="false" customWidth="true" hidden="false" outlineLevel="0" max="3" min="3" style="0" width="80"/>
  </cols>
  <sheetData>
    <row r="1" customFormat="false" ht="17.35" hidden="false" customHeight="false" outlineLevel="0" collapsed="false">
      <c r="A1" s="13" t="s">
        <v>232</v>
      </c>
    </row>
    <row r="2" customFormat="false" ht="15" hidden="false" customHeight="false" outlineLevel="0" collapsed="false">
      <c r="A2" s="2" t="s">
        <v>233</v>
      </c>
    </row>
    <row r="4" customFormat="false" ht="15" hidden="false" customHeight="false" outlineLevel="0" collapsed="false">
      <c r="A4" s="15" t="s">
        <v>234</v>
      </c>
      <c r="B4" s="16" t="s">
        <v>183</v>
      </c>
      <c r="C4" s="16" t="s">
        <v>235</v>
      </c>
    </row>
    <row r="5" customFormat="false" ht="15" hidden="false" customHeight="false" outlineLevel="0" collapsed="false">
      <c r="A5" s="6" t="s">
        <v>236</v>
      </c>
      <c r="B5" s="54" t="n">
        <f aca="false">Inputs!B13-SUM(Inputs!B9:B12)</f>
        <v>0</v>
      </c>
      <c r="C5" s="2" t="s">
        <v>237</v>
      </c>
    </row>
    <row r="6" customFormat="false" ht="15" hidden="false" customHeight="false" outlineLevel="0" collapsed="false">
      <c r="A6" s="6" t="s">
        <v>238</v>
      </c>
      <c r="B6" s="54" t="n">
        <f aca="false">SUMPRODUCT(Fund!C7:C46*ABS(Fund!E7:E46+Fund!J7:J46+Fund!K7:K46-Fund!L7:L46))</f>
        <v>0</v>
      </c>
      <c r="C6" s="2" t="s">
        <v>239</v>
      </c>
    </row>
    <row r="7" customFormat="false" ht="15" hidden="false" customHeight="false" outlineLevel="0" collapsed="false">
      <c r="A7" s="6" t="s">
        <v>240</v>
      </c>
      <c r="B7" s="54" t="n">
        <f aca="false">MAX(0,MAX(Fund!P7:P46)-Inputs!B13)</f>
        <v>0</v>
      </c>
      <c r="C7" s="2" t="s">
        <v>241</v>
      </c>
    </row>
    <row r="8" customFormat="false" ht="15" hidden="false" customHeight="false" outlineLevel="0" collapsed="false">
      <c r="A8" s="6" t="s">
        <v>242</v>
      </c>
      <c r="B8" s="55" t="n">
        <f aca="false">Fund!I46</f>
        <v>0</v>
      </c>
      <c r="C8" s="2" t="s">
        <v>243</v>
      </c>
    </row>
    <row r="9" customFormat="false" ht="15" hidden="false" customHeight="false" outlineLevel="0" collapsed="false">
      <c r="A9" s="6" t="s">
        <v>244</v>
      </c>
      <c r="B9" s="54" t="n">
        <f aca="false">SUMPRODUCT(ABS(Fund!T7:T46-Fund!T6:T45-(Fund!L7:L46-Fund!O7:O46+Fund!F7:F46-Fund!J7:J46-Fund!K7:K46-Fund!AD7:AD46-Fund!AH7:AH46-Fund!AG7:AG46)))</f>
        <v>3.69704267200177E-014</v>
      </c>
      <c r="C9" s="2" t="s">
        <v>245</v>
      </c>
    </row>
    <row r="10" customFormat="false" ht="15" hidden="false" customHeight="false" outlineLevel="0" collapsed="false">
      <c r="A10" s="6" t="s">
        <v>246</v>
      </c>
      <c r="B10" s="54" t="n">
        <f aca="false">Fund!U46+Fund!R46-Fund!Q46</f>
        <v>0</v>
      </c>
      <c r="C10" s="2" t="s">
        <v>247</v>
      </c>
    </row>
    <row r="11" customFormat="false" ht="15" hidden="false" customHeight="false" outlineLevel="0" collapsed="false">
      <c r="A11" s="6" t="s">
        <v>248</v>
      </c>
      <c r="B11" s="54" t="n">
        <f aca="false">ROUND(SUMPRODUCT(Fund!Z7:Z46/(1+Returns!B18)^((Fund!B7:B46-Fund!B7)/365)),4)</f>
        <v>0</v>
      </c>
      <c r="C11" s="2" t="s">
        <v>249</v>
      </c>
    </row>
    <row r="12" customFormat="false" ht="15" hidden="false" customHeight="false" outlineLevel="0" collapsed="false">
      <c r="A12" s="6" t="s">
        <v>250</v>
      </c>
      <c r="B12" s="54" t="n">
        <f aca="false">ROUND(SUMPRODUCT(Fund!AB7:AB46/(1+Returns!B26)^((Fund!B7:B46-Fund!B7)/365)),4)</f>
        <v>0</v>
      </c>
      <c r="C12" s="2"/>
    </row>
    <row r="13" customFormat="false" ht="15" hidden="false" customHeight="false" outlineLevel="0" collapsed="false">
      <c r="A13" s="6" t="s">
        <v>251</v>
      </c>
      <c r="B13" s="54" t="n">
        <f aca="false">ROUND(Returns!B17-INDEX(Fund!X7:X46,Returns!B5),6)</f>
        <v>0</v>
      </c>
      <c r="C13" s="2"/>
    </row>
    <row r="14" customFormat="false" ht="15" hidden="false" customHeight="false" outlineLevel="0" collapsed="false">
      <c r="A14" s="6" t="s">
        <v>252</v>
      </c>
      <c r="B14" s="55" t="n">
        <f aca="false">'LP Statement'!B24</f>
        <v>0</v>
      </c>
      <c r="C14" s="2" t="s">
        <v>253</v>
      </c>
    </row>
    <row r="15" customFormat="false" ht="15" hidden="false" customHeight="false" outlineLevel="0" collapsed="false">
      <c r="A15" s="6" t="s">
        <v>254</v>
      </c>
      <c r="B15" s="54" t="n">
        <f aca="false">SUMPRODUCT(ABS('LP Statement'!H36:H75))</f>
        <v>0</v>
      </c>
      <c r="C15" s="2"/>
    </row>
    <row r="16" customFormat="false" ht="15" hidden="false" customHeight="false" outlineLevel="0" collapsed="false">
      <c r="A16" s="6" t="s">
        <v>255</v>
      </c>
      <c r="B16" s="55" t="n">
        <f aca="false">Fund!AJ46</f>
        <v>0</v>
      </c>
      <c r="C16" s="2" t="s">
        <v>256</v>
      </c>
    </row>
    <row r="17" customFormat="false" ht="15" hidden="false" customHeight="false" outlineLevel="0" collapsed="false">
      <c r="A17" s="6" t="s">
        <v>257</v>
      </c>
      <c r="B17" s="54" t="n">
        <f aca="false">Fund!AF48-Fund!AI48</f>
        <v>0</v>
      </c>
      <c r="C17" s="2" t="s">
        <v>258</v>
      </c>
    </row>
    <row r="18" customFormat="false" ht="15" hidden="false" customHeight="false" outlineLevel="0" collapsed="false">
      <c r="A18" s="6" t="s">
        <v>259</v>
      </c>
      <c r="B18" s="54" t="n">
        <f aca="false">SUMPRODUCT(ABS(Fund!M7:M46-(Fund!C7:C46*Fund!H7:H46+(1-Fund!C7:C46)*(Fund!H7:H46-Fund!J7:J46-Fund!K7:K46)-Fund!AH7:AH46-Fund!AI7:AI46+Fund!AK7:AK46)))</f>
        <v>0</v>
      </c>
      <c r="C18" s="2" t="s">
        <v>260</v>
      </c>
    </row>
    <row r="19" customFormat="false" ht="15" hidden="false" customHeight="false" outlineLevel="0" collapsed="false">
      <c r="A19" s="6" t="s">
        <v>261</v>
      </c>
      <c r="B19" s="54" t="n">
        <f aca="false">IF(Inputs!B35=0,SUMPRODUCT(ABS(Fund!T7:T46-Fund!AS7:AS46)),0)</f>
        <v>0</v>
      </c>
      <c r="C19" s="2" t="s">
        <v>262</v>
      </c>
    </row>
    <row r="21" customFormat="false" ht="15" hidden="false" customHeight="false" outlineLevel="0" collapsed="false">
      <c r="A21" s="5" t="s">
        <v>263</v>
      </c>
      <c r="B21" s="56" t="str">
        <f aca="false">IF(SUMPRODUCT(ABS(B5:B19))&lt;0.001,"ALL CHECKS PASS","CHECK ERRORS")</f>
        <v>ALL CHECKS PASS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2026-09-29T21:25:00Z</dcterms:created>
  <dc:creator>openpyxl</dc:creator>
  <dc:description/>
  <dc:language>en-US</dc:language>
  <cp:lastModifiedBy/>
  <dcterms:modified xsi:type="dcterms:W3CDTF">2026-09-29T21:25:02Z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