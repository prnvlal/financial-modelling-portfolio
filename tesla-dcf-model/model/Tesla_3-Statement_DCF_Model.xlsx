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pranav/Downloads/"/>
    </mc:Choice>
  </mc:AlternateContent>
  <xr:revisionPtr revIDLastSave="0" documentId="13_ncr:1_{038DE7F2-8A7F-0341-9BB2-AB9A12FE80A9}" xr6:coauthVersionLast="47" xr6:coauthVersionMax="47" xr10:uidLastSave="{00000000-0000-0000-0000-000000000000}"/>
  <bookViews>
    <workbookView xWindow="0" yWindow="660" windowWidth="29400" windowHeight="18460" tabRatio="500" activeTab="7" xr2:uid="{00000000-000D-0000-FFFF-FFFF00000000}"/>
  </bookViews>
  <sheets>
    <sheet name="README" sheetId="1" r:id="rId1"/>
    <sheet name="Assumptions" sheetId="2" r:id="rId2"/>
    <sheet name="IS" sheetId="3" r:id="rId3"/>
    <sheet name="BS" sheetId="4" r:id="rId4"/>
    <sheet name="CF" sheetId="5" r:id="rId5"/>
    <sheet name="DCF" sheetId="6" r:id="rId6"/>
    <sheet name="Checks" sheetId="7" r:id="rId7"/>
    <sheet name="Sources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2" i="7" l="1"/>
  <c r="B22" i="7"/>
  <c r="G60" i="6"/>
  <c r="F60" i="6"/>
  <c r="C60" i="6"/>
  <c r="B52" i="6"/>
  <c r="B51" i="6"/>
  <c r="B50" i="6"/>
  <c r="B49" i="6"/>
  <c r="B37" i="6"/>
  <c r="E60" i="6" s="1"/>
  <c r="B31" i="6"/>
  <c r="B29" i="6"/>
  <c r="B54" i="6" s="1"/>
  <c r="B28" i="6"/>
  <c r="B56" i="6" s="1"/>
  <c r="B18" i="1" s="1"/>
  <c r="B27" i="6"/>
  <c r="B26" i="6"/>
  <c r="B25" i="6"/>
  <c r="B24" i="6"/>
  <c r="B23" i="6"/>
  <c r="B22" i="6"/>
  <c r="B21" i="6"/>
  <c r="C21" i="5"/>
  <c r="C23" i="7" s="1"/>
  <c r="B21" i="5"/>
  <c r="B23" i="7" s="1"/>
  <c r="I17" i="5"/>
  <c r="H17" i="5"/>
  <c r="G17" i="5"/>
  <c r="F17" i="5"/>
  <c r="E17" i="5"/>
  <c r="D15" i="5"/>
  <c r="D24" i="7" s="1"/>
  <c r="E7" i="5"/>
  <c r="E10" i="6" s="1"/>
  <c r="C26" i="4"/>
  <c r="D25" i="4"/>
  <c r="C25" i="4"/>
  <c r="D21" i="4"/>
  <c r="D26" i="4" s="1"/>
  <c r="C21" i="4"/>
  <c r="C27" i="7" s="1"/>
  <c r="F20" i="4"/>
  <c r="G20" i="4" s="1"/>
  <c r="H20" i="4" s="1"/>
  <c r="I20" i="4" s="1"/>
  <c r="E20" i="4"/>
  <c r="F19" i="4"/>
  <c r="E19" i="4"/>
  <c r="F24" i="3" s="1"/>
  <c r="D14" i="4"/>
  <c r="D28" i="4" s="1"/>
  <c r="D28" i="7" s="1"/>
  <c r="F13" i="4"/>
  <c r="G13" i="4" s="1"/>
  <c r="H13" i="4" s="1"/>
  <c r="I13" i="4" s="1"/>
  <c r="E13" i="4"/>
  <c r="F12" i="4"/>
  <c r="G12" i="4" s="1"/>
  <c r="H12" i="4" s="1"/>
  <c r="I12" i="4" s="1"/>
  <c r="E12" i="4"/>
  <c r="D10" i="4"/>
  <c r="C10" i="4"/>
  <c r="C14" i="4" s="1"/>
  <c r="E37" i="3"/>
  <c r="D37" i="3"/>
  <c r="C37" i="3"/>
  <c r="B37" i="3"/>
  <c r="I30" i="3"/>
  <c r="H30" i="3"/>
  <c r="G30" i="3"/>
  <c r="F30" i="3"/>
  <c r="E30" i="3"/>
  <c r="E24" i="4" s="1"/>
  <c r="F24" i="4" s="1"/>
  <c r="G24" i="4" s="1"/>
  <c r="H24" i="4" s="1"/>
  <c r="I24" i="4" s="1"/>
  <c r="E24" i="3"/>
  <c r="E23" i="3"/>
  <c r="D21" i="3"/>
  <c r="D38" i="3" s="1"/>
  <c r="D39" i="3" s="1"/>
  <c r="D20" i="3"/>
  <c r="I19" i="3"/>
  <c r="H19" i="3"/>
  <c r="G19" i="3"/>
  <c r="F19" i="3"/>
  <c r="E19" i="3"/>
  <c r="D15" i="3"/>
  <c r="D19" i="7" s="1"/>
  <c r="C15" i="3"/>
  <c r="C19" i="7" s="1"/>
  <c r="D14" i="3"/>
  <c r="D54" i="2" s="1"/>
  <c r="D9" i="3"/>
  <c r="D5" i="6" s="1"/>
  <c r="C9" i="3"/>
  <c r="D34" i="3" s="1"/>
  <c r="B9" i="3"/>
  <c r="B48" i="2" s="1"/>
  <c r="E8" i="3"/>
  <c r="D66" i="2"/>
  <c r="D64" i="2"/>
  <c r="D63" i="2"/>
  <c r="D58" i="2"/>
  <c r="D57" i="2"/>
  <c r="D56" i="2"/>
  <c r="C56" i="2"/>
  <c r="D55" i="2"/>
  <c r="C55" i="2"/>
  <c r="C54" i="2"/>
  <c r="D53" i="2"/>
  <c r="D50" i="2"/>
  <c r="D49" i="2"/>
  <c r="D48" i="2"/>
  <c r="C48" i="2"/>
  <c r="D47" i="2"/>
  <c r="D46" i="2"/>
  <c r="D45" i="2"/>
  <c r="I42" i="2"/>
  <c r="H42" i="2"/>
  <c r="G42" i="2"/>
  <c r="F42" i="2"/>
  <c r="E42" i="2"/>
  <c r="D42" i="2"/>
  <c r="I36" i="2"/>
  <c r="H36" i="2"/>
  <c r="G36" i="2"/>
  <c r="F36" i="2"/>
  <c r="E36" i="2"/>
  <c r="D36" i="2"/>
  <c r="I30" i="2"/>
  <c r="H30" i="2"/>
  <c r="G30" i="2"/>
  <c r="F30" i="2"/>
  <c r="E30" i="2"/>
  <c r="D30" i="2"/>
  <c r="I24" i="2"/>
  <c r="H24" i="2"/>
  <c r="G24" i="2"/>
  <c r="F24" i="2"/>
  <c r="E24" i="2"/>
  <c r="D24" i="2"/>
  <c r="C24" i="2"/>
  <c r="I18" i="2"/>
  <c r="H18" i="2"/>
  <c r="G18" i="2"/>
  <c r="F18" i="2"/>
  <c r="E18" i="2"/>
  <c r="E7" i="3" s="1"/>
  <c r="D18" i="2"/>
  <c r="C18" i="2"/>
  <c r="I12" i="2"/>
  <c r="H12" i="2"/>
  <c r="G12" i="2"/>
  <c r="F12" i="2"/>
  <c r="E12" i="2"/>
  <c r="E6" i="3" s="1"/>
  <c r="D12" i="2"/>
  <c r="C12" i="2"/>
  <c r="B4" i="2"/>
  <c r="B14" i="1" s="1"/>
  <c r="E13" i="3" l="1"/>
  <c r="E12" i="3"/>
  <c r="F7" i="3"/>
  <c r="C28" i="4"/>
  <c r="C28" i="7" s="1"/>
  <c r="C26" i="7"/>
  <c r="E9" i="3"/>
  <c r="B33" i="6"/>
  <c r="B50" i="2"/>
  <c r="F6" i="3"/>
  <c r="F8" i="3"/>
  <c r="D60" i="6"/>
  <c r="D20" i="7"/>
  <c r="C50" i="2"/>
  <c r="C57" i="2"/>
  <c r="D36" i="3"/>
  <c r="E11" i="3"/>
  <c r="E14" i="3" s="1"/>
  <c r="D27" i="3"/>
  <c r="C35" i="3"/>
  <c r="B18" i="7"/>
  <c r="C53" i="2"/>
  <c r="C58" i="2"/>
  <c r="B15" i="3"/>
  <c r="C21" i="3"/>
  <c r="D35" i="3"/>
  <c r="C18" i="7"/>
  <c r="D26" i="7"/>
  <c r="C34" i="3"/>
  <c r="D6" i="6"/>
  <c r="D7" i="6" s="1"/>
  <c r="D18" i="7"/>
  <c r="G19" i="4"/>
  <c r="B30" i="6"/>
  <c r="D27" i="7"/>
  <c r="H19" i="4" l="1"/>
  <c r="F13" i="3"/>
  <c r="G8" i="3"/>
  <c r="C38" i="3"/>
  <c r="C39" i="3" s="1"/>
  <c r="C27" i="3"/>
  <c r="C36" i="3"/>
  <c r="C20" i="7"/>
  <c r="G24" i="3"/>
  <c r="F12" i="3"/>
  <c r="G7" i="3"/>
  <c r="F9" i="3"/>
  <c r="F11" i="3"/>
  <c r="G6" i="3"/>
  <c r="D29" i="3"/>
  <c r="D40" i="3"/>
  <c r="D65" i="2" s="1"/>
  <c r="E16" i="4"/>
  <c r="E8" i="4"/>
  <c r="E13" i="5"/>
  <c r="E18" i="4"/>
  <c r="E34" i="3"/>
  <c r="E18" i="3"/>
  <c r="E15" i="3"/>
  <c r="E9" i="4"/>
  <c r="E7" i="4"/>
  <c r="E17" i="4"/>
  <c r="E8" i="5"/>
  <c r="E17" i="3"/>
  <c r="E20" i="3" s="1"/>
  <c r="E5" i="6"/>
  <c r="B19" i="7"/>
  <c r="B21" i="3"/>
  <c r="B35" i="3"/>
  <c r="B32" i="6"/>
  <c r="B34" i="6" s="1"/>
  <c r="B68" i="6"/>
  <c r="B69" i="6" s="1"/>
  <c r="E21" i="4" l="1"/>
  <c r="E11" i="4"/>
  <c r="E15" i="5"/>
  <c r="E11" i="6"/>
  <c r="D31" i="3"/>
  <c r="D21" i="7" s="1"/>
  <c r="D6" i="5"/>
  <c r="D11" i="5" s="1"/>
  <c r="C29" i="3"/>
  <c r="C31" i="3" s="1"/>
  <c r="C21" i="7" s="1"/>
  <c r="C40" i="3"/>
  <c r="E10" i="5"/>
  <c r="E12" i="6" s="1"/>
  <c r="G11" i="3"/>
  <c r="H6" i="3"/>
  <c r="G9" i="3"/>
  <c r="I19" i="4"/>
  <c r="I24" i="3"/>
  <c r="B65" i="6"/>
  <c r="G16" i="6"/>
  <c r="F16" i="6"/>
  <c r="B15" i="1"/>
  <c r="B63" i="6"/>
  <c r="E16" i="6"/>
  <c r="B61" i="6"/>
  <c r="B64" i="6"/>
  <c r="B62" i="6"/>
  <c r="I16" i="6"/>
  <c r="H16" i="6"/>
  <c r="E21" i="3"/>
  <c r="E35" i="3"/>
  <c r="F14" i="3"/>
  <c r="G13" i="3"/>
  <c r="H8" i="3"/>
  <c r="F34" i="3"/>
  <c r="F18" i="3"/>
  <c r="F13" i="5"/>
  <c r="F18" i="4"/>
  <c r="F9" i="4"/>
  <c r="F7" i="4"/>
  <c r="F17" i="4"/>
  <c r="F8" i="5"/>
  <c r="F17" i="3"/>
  <c r="F20" i="3" s="1"/>
  <c r="F5" i="6"/>
  <c r="B20" i="7"/>
  <c r="B38" i="3"/>
  <c r="B39" i="3" s="1"/>
  <c r="B27" i="3"/>
  <c r="B36" i="3"/>
  <c r="H7" i="3"/>
  <c r="G12" i="3"/>
  <c r="H24" i="3"/>
  <c r="B29" i="3" l="1"/>
  <c r="B31" i="3" s="1"/>
  <c r="B21" i="7" s="1"/>
  <c r="B40" i="3"/>
  <c r="F15" i="5"/>
  <c r="F11" i="6"/>
  <c r="H13" i="3"/>
  <c r="I8" i="3"/>
  <c r="I13" i="3" s="1"/>
  <c r="F16" i="4"/>
  <c r="F21" i="4" s="1"/>
  <c r="F8" i="4"/>
  <c r="F10" i="5"/>
  <c r="F12" i="6" s="1"/>
  <c r="E38" i="3"/>
  <c r="E39" i="3" s="1"/>
  <c r="E6" i="6"/>
  <c r="E27" i="3"/>
  <c r="E36" i="3"/>
  <c r="F15" i="3"/>
  <c r="G34" i="3"/>
  <c r="G18" i="3"/>
  <c r="G9" i="4"/>
  <c r="G7" i="4"/>
  <c r="G17" i="4"/>
  <c r="G8" i="5"/>
  <c r="G17" i="3"/>
  <c r="G5" i="6"/>
  <c r="G13" i="5"/>
  <c r="G18" i="4"/>
  <c r="H11" i="3"/>
  <c r="I6" i="3"/>
  <c r="H9" i="3"/>
  <c r="I7" i="3"/>
  <c r="I12" i="3" s="1"/>
  <c r="H12" i="3"/>
  <c r="G14" i="3"/>
  <c r="G15" i="3" s="1"/>
  <c r="F7" i="5"/>
  <c r="F11" i="4"/>
  <c r="D22" i="7"/>
  <c r="D19" i="5"/>
  <c r="D25" i="7" s="1"/>
  <c r="D21" i="5"/>
  <c r="D23" i="7" s="1"/>
  <c r="H9" i="4" l="1"/>
  <c r="H7" i="4"/>
  <c r="H17" i="4"/>
  <c r="H8" i="5"/>
  <c r="H17" i="3"/>
  <c r="H5" i="6"/>
  <c r="H13" i="5"/>
  <c r="H18" i="4"/>
  <c r="H34" i="3"/>
  <c r="H18" i="3"/>
  <c r="H14" i="3"/>
  <c r="H15" i="3" s="1"/>
  <c r="G15" i="5"/>
  <c r="G11" i="6"/>
  <c r="G7" i="5"/>
  <c r="F10" i="6"/>
  <c r="F37" i="3"/>
  <c r="G20" i="3"/>
  <c r="G21" i="3" s="1"/>
  <c r="E28" i="3"/>
  <c r="E40" i="3" s="1"/>
  <c r="E29" i="3"/>
  <c r="I11" i="3"/>
  <c r="I14" i="3" s="1"/>
  <c r="I9" i="3"/>
  <c r="G35" i="3"/>
  <c r="F21" i="3"/>
  <c r="F35" i="3"/>
  <c r="G8" i="4"/>
  <c r="G16" i="4"/>
  <c r="G21" i="4" s="1"/>
  <c r="E8" i="6"/>
  <c r="E9" i="6"/>
  <c r="E13" i="6" s="1"/>
  <c r="E7" i="6"/>
  <c r="G10" i="5" l="1"/>
  <c r="G12" i="6" s="1"/>
  <c r="H20" i="3"/>
  <c r="H21" i="3" s="1"/>
  <c r="H35" i="3"/>
  <c r="F6" i="6"/>
  <c r="F38" i="3"/>
  <c r="F39" i="3" s="1"/>
  <c r="F36" i="3"/>
  <c r="G10" i="6"/>
  <c r="G37" i="3"/>
  <c r="G38" i="3" s="1"/>
  <c r="G39" i="3" s="1"/>
  <c r="H15" i="5"/>
  <c r="H11" i="6"/>
  <c r="G11" i="4"/>
  <c r="G6" i="6"/>
  <c r="G36" i="3"/>
  <c r="I8" i="4"/>
  <c r="I16" i="4"/>
  <c r="E6" i="5"/>
  <c r="E11" i="5" s="1"/>
  <c r="E31" i="3"/>
  <c r="E23" i="4" s="1"/>
  <c r="I9" i="4"/>
  <c r="I7" i="4"/>
  <c r="I17" i="4"/>
  <c r="I8" i="5"/>
  <c r="I17" i="3"/>
  <c r="I5" i="6"/>
  <c r="I13" i="5"/>
  <c r="I18" i="4"/>
  <c r="I34" i="3"/>
  <c r="I18" i="3"/>
  <c r="I15" i="3"/>
  <c r="H8" i="4"/>
  <c r="H16" i="4"/>
  <c r="H21" i="4" s="1"/>
  <c r="E17" i="6"/>
  <c r="H10" i="5" l="1"/>
  <c r="H12" i="6" s="1"/>
  <c r="E25" i="4"/>
  <c r="E26" i="4" s="1"/>
  <c r="I21" i="4"/>
  <c r="I20" i="3"/>
  <c r="F8" i="6"/>
  <c r="F9" i="6" s="1"/>
  <c r="F13" i="6" s="1"/>
  <c r="F17" i="6" s="1"/>
  <c r="F7" i="6"/>
  <c r="E19" i="5"/>
  <c r="E6" i="4" s="1"/>
  <c r="E21" i="5"/>
  <c r="I10" i="5"/>
  <c r="I12" i="6" s="1"/>
  <c r="G8" i="6"/>
  <c r="G9" i="6" s="1"/>
  <c r="G13" i="6" s="1"/>
  <c r="G17" i="6" s="1"/>
  <c r="G7" i="6"/>
  <c r="I15" i="5"/>
  <c r="I11" i="6"/>
  <c r="I35" i="3"/>
  <c r="I21" i="3"/>
  <c r="H7" i="5"/>
  <c r="H11" i="4" s="1"/>
  <c r="H6" i="6"/>
  <c r="H36" i="3"/>
  <c r="I36" i="3" l="1"/>
  <c r="I6" i="6"/>
  <c r="E29" i="7"/>
  <c r="E10" i="4"/>
  <c r="E14" i="4" s="1"/>
  <c r="E28" i="4" s="1"/>
  <c r="E28" i="7" s="1"/>
  <c r="F23" i="3"/>
  <c r="F27" i="3" s="1"/>
  <c r="H7" i="6"/>
  <c r="H8" i="6"/>
  <c r="H9" i="6" s="1"/>
  <c r="H13" i="6" s="1"/>
  <c r="H17" i="6" s="1"/>
  <c r="I7" i="5"/>
  <c r="I11" i="4"/>
  <c r="H37" i="3"/>
  <c r="H38" i="3" s="1"/>
  <c r="H39" i="3" s="1"/>
  <c r="H10" i="6"/>
  <c r="F28" i="3" l="1"/>
  <c r="F40" i="3" s="1"/>
  <c r="I37" i="3"/>
  <c r="I38" i="3" s="1"/>
  <c r="I39" i="3" s="1"/>
  <c r="I10" i="6"/>
  <c r="B45" i="6" s="1"/>
  <c r="I7" i="6"/>
  <c r="I8" i="6"/>
  <c r="I9" i="6" s="1"/>
  <c r="I13" i="6" s="1"/>
  <c r="I17" i="6" l="1"/>
  <c r="B41" i="6" s="1"/>
  <c r="B70" i="6" s="1"/>
  <c r="B71" i="6" s="1"/>
  <c r="B72" i="6" s="1"/>
  <c r="B73" i="6" s="1"/>
  <c r="B38" i="6"/>
  <c r="F29" i="3"/>
  <c r="F6" i="5" l="1"/>
  <c r="F11" i="5" s="1"/>
  <c r="F31" i="3"/>
  <c r="F23" i="4" s="1"/>
  <c r="B39" i="6"/>
  <c r="B74" i="6"/>
  <c r="B75" i="6" s="1"/>
  <c r="B20" i="1" s="1"/>
  <c r="B44" i="6" l="1"/>
  <c r="B40" i="6"/>
  <c r="F25" i="4"/>
  <c r="F26" i="4" s="1"/>
  <c r="F19" i="5"/>
  <c r="F6" i="4" s="1"/>
  <c r="F21" i="5"/>
  <c r="F29" i="7" l="1"/>
  <c r="F10" i="4"/>
  <c r="F14" i="4" s="1"/>
  <c r="F28" i="4" s="1"/>
  <c r="F28" i="7" s="1"/>
  <c r="G23" i="3"/>
  <c r="G27" i="3" s="1"/>
  <c r="B42" i="6"/>
  <c r="B16" i="1" l="1"/>
  <c r="B48" i="6"/>
  <c r="B53" i="6" s="1"/>
  <c r="B43" i="6"/>
  <c r="G28" i="3"/>
  <c r="G40" i="3" s="1"/>
  <c r="G29" i="3" l="1"/>
  <c r="B55" i="6"/>
  <c r="D63" i="6"/>
  <c r="C64" i="6"/>
  <c r="C63" i="6"/>
  <c r="G63" i="6"/>
  <c r="E63" i="6"/>
  <c r="E30" i="7" s="1"/>
  <c r="C62" i="6"/>
  <c r="D64" i="6"/>
  <c r="D65" i="6"/>
  <c r="G64" i="6"/>
  <c r="F62" i="6"/>
  <c r="E61" i="6"/>
  <c r="G65" i="6"/>
  <c r="E65" i="6"/>
  <c r="C65" i="6"/>
  <c r="C61" i="6"/>
  <c r="F61" i="6"/>
  <c r="F63" i="6"/>
  <c r="E62" i="6"/>
  <c r="E64" i="6"/>
  <c r="F64" i="6"/>
  <c r="F65" i="6"/>
  <c r="G61" i="6"/>
  <c r="D61" i="6"/>
  <c r="D62" i="6"/>
  <c r="G62" i="6"/>
  <c r="B57" i="6" l="1"/>
  <c r="B19" i="1" s="1"/>
  <c r="B17" i="1"/>
  <c r="G6" i="5"/>
  <c r="G11" i="5" s="1"/>
  <c r="G31" i="3"/>
  <c r="G23" i="4" s="1"/>
  <c r="G19" i="5" l="1"/>
  <c r="G6" i="4" s="1"/>
  <c r="G21" i="5"/>
  <c r="G25" i="4"/>
  <c r="G26" i="4" s="1"/>
  <c r="G29" i="7" l="1"/>
  <c r="G10" i="4"/>
  <c r="G14" i="4" s="1"/>
  <c r="G28" i="4" s="1"/>
  <c r="G28" i="7" s="1"/>
  <c r="H23" i="3"/>
  <c r="H27" i="3" s="1"/>
  <c r="H28" i="3" l="1"/>
  <c r="H40" i="3" s="1"/>
  <c r="H29" i="3"/>
  <c r="H6" i="5" l="1"/>
  <c r="H11" i="5" s="1"/>
  <c r="H31" i="3"/>
  <c r="H23" i="4" s="1"/>
  <c r="H25" i="4" l="1"/>
  <c r="H26" i="4" s="1"/>
  <c r="H19" i="5"/>
  <c r="H6" i="4" s="1"/>
  <c r="H21" i="5"/>
  <c r="H29" i="7" l="1"/>
  <c r="H10" i="4"/>
  <c r="H14" i="4" s="1"/>
  <c r="H28" i="4" s="1"/>
  <c r="H28" i="7" s="1"/>
  <c r="I23" i="3"/>
  <c r="I27" i="3" s="1"/>
  <c r="I28" i="3" l="1"/>
  <c r="I40" i="3" s="1"/>
  <c r="I29" i="3" l="1"/>
  <c r="I31" i="3" s="1"/>
  <c r="I23" i="4" s="1"/>
  <c r="I25" i="4" s="1"/>
  <c r="I26" i="4" s="1"/>
  <c r="I6" i="5"/>
  <c r="I11" i="5" s="1"/>
  <c r="I21" i="5" l="1"/>
  <c r="I19" i="5"/>
  <c r="I6" i="4" s="1"/>
  <c r="I29" i="7" l="1"/>
  <c r="I10" i="4"/>
  <c r="I14" i="4" s="1"/>
  <c r="I28" i="4" s="1"/>
  <c r="I28" i="7" s="1"/>
  <c r="B32" i="7" l="1"/>
  <c r="B21" i="1" s="1"/>
</calcChain>
</file>

<file path=xl/sharedStrings.xml><?xml version="1.0" encoding="utf-8"?>
<sst xmlns="http://schemas.openxmlformats.org/spreadsheetml/2006/main" count="445" uniqueCount="342">
  <si>
    <t>Tesla, Inc. - Integrated 3-statement model and DCF</t>
  </si>
  <si>
    <t>Portfolio piece (Models 1 &amp; 2). US$ millions, FY ends 31 December. Historicals FY2023A-FY2025A; forecast FY2026E-FY2030E. Built 30-Sep-2026.</t>
  </si>
  <si>
    <t>Purpose</t>
  </si>
  <si>
    <t>A traceable, auditable model: income statement, balance sheet and cash flow are fully linked, and the DCF reads its cash flows straight from them. One switch (Assumptions!B3) runs Bear / Base / Bull.</t>
  </si>
  <si>
    <t>Sheet map</t>
  </si>
  <si>
    <t>Assumptions (all drivers) -&gt; IS, BS, CF (statements) -&gt; DCF (valuation, sensitivity, reverse DCF) -&gt; Checks (ties to reported figures, balance) -&gt; Sources.</t>
  </si>
  <si>
    <t>Colour code</t>
  </si>
  <si>
    <t>Blue = hard-coded input | Black = formula | Green = link from another sheet | Yellow fill = key assumption to challenge.</t>
  </si>
  <si>
    <t>How the statements link</t>
  </si>
  <si>
    <t>Revenue and margins (Assumptions) -&gt; IS -&gt; net income -&gt; CF -&gt; cash on BS. PP&amp;E = opening + capex - D&amp;A. Equity = opening + net income + SBC. Working-capital lines are driven by days / % of revenue and feed the CF. BS balance check is on the BS and Checks sheets.</t>
  </si>
  <si>
    <t>DCF method</t>
  </si>
  <si>
    <t>UFCF = NOPAT + D&amp;A - capex - change in working capital, discounted at CAPM-based WACC (end-year), Gordon-growth terminal value, EV-to-equity bridge from the FY2025 balance sheet. SBC is not added back.</t>
  </si>
  <si>
    <t>Reading the result</t>
  </si>
  <si>
    <t>Base-case value per share (~$20) is far below the market price (~$359); even the Bull case is ~$35. At a 5.2% risk-free rate and beta ~1.85 the WACC is ~13.5%, and the market price only works if FY2030 free cash flow is ~30x the base case - the reverse DCF quantifies this. Caution: the implied terminal EV/EBITDA is only ~3-4x because FY2030E is still an investment year (capex/D&amp;A ~1.2x, EBIT margin ~9%). Treat the absolute value as a conservative floor, and extend the forecast to 10 years with a fade to steady-state margins before relying on it.</t>
  </si>
  <si>
    <t>Known limitations</t>
  </si>
  <si>
    <t>(1) 5-year explicit period is short for a business still in heavy investment; terminal year capex/D&amp;A is shown as a diagnostic. (2) No explicit robotaxi / Optimus segment - only the Bull case proxies this through growth and margin. (3) Valuation date is the 31-Dec-2025 balance sheet, price is 28-Sep-2026 (9-month mismatch, not rolled forward). (4) FY2023-24 detail is limited to reported totals. (5) Share count differs by source (3.54bn diluted weighted / 3.75bn 10-K cover / 3.95bn market data) - verify against the latest 10-Q.</t>
  </si>
  <si>
    <t>Not investment advice</t>
  </si>
  <si>
    <t>Educational portfolio model built from public filings and illustrative assumptions.</t>
  </si>
  <si>
    <t>Key outputs (live)</t>
  </si>
  <si>
    <t>Active scenario</t>
  </si>
  <si>
    <t>WACC</t>
  </si>
  <si>
    <t>Enterprise value ($mm)</t>
  </si>
  <si>
    <t>Implied value per share ($)</t>
  </si>
  <si>
    <t>Current share price ($)</t>
  </si>
  <si>
    <t>Upside / (downside)</t>
  </si>
  <si>
    <t>Required / modelled FY2030E UFCF (reverse DCF)</t>
  </si>
  <si>
    <t>Model integrity</t>
  </si>
  <si>
    <t>Tesla, Inc. - Assumptions &amp; scenario control</t>
  </si>
  <si>
    <t>Blue = hard-coded input | Black = formula | Green = link from another sheet | Yellow fill = key assumption. Forecast drivers are illustrative analyst assumptions, not company guidance unless noted.</t>
  </si>
  <si>
    <t>Scenario selector (1 = Bear, 2 = Base, 3 = Bull)</t>
  </si>
  <si>
    <t>Change B3 to flow a scenario through revenue growth and segment gross margins for the whole model.</t>
  </si>
  <si>
    <t>($mm unless stated)</t>
  </si>
  <si>
    <t>FY2023A</t>
  </si>
  <si>
    <t>FY2024A</t>
  </si>
  <si>
    <t>FY2025A</t>
  </si>
  <si>
    <t>FY2026E</t>
  </si>
  <si>
    <t>FY2027E</t>
  </si>
  <si>
    <t>FY2028E</t>
  </si>
  <si>
    <t>FY2029E</t>
  </si>
  <si>
    <t>FY2030E</t>
  </si>
  <si>
    <t>Source / note</t>
  </si>
  <si>
    <t>Automotive revenue growth (%)</t>
  </si>
  <si>
    <t>FY2025A: -10% (deliveries 1.64mm, -9%). Base assumes stabilisation then mid-single-digit growth; Bull adds robotaxi/Cybercab-led fleet revenue.</t>
  </si>
  <si>
    <t>Bear</t>
  </si>
  <si>
    <t>Base</t>
  </si>
  <si>
    <t>Bull</t>
  </si>
  <si>
    <t>Selected (feeds model)</t>
  </si>
  <si>
    <t>Energy generation &amp; storage revenue growth (%)</t>
  </si>
  <si>
    <t>FY2025A: +27% (46.7 GWh deployed, +49%). Base fades growth as base effect builds.</t>
  </si>
  <si>
    <t>Services &amp; other revenue growth (%)</t>
  </si>
  <si>
    <t>FY2025A: +19% (Supercharging, parts, insurance, FSD subscriptions).</t>
  </si>
  <si>
    <t>Automotive gross margin (%)</t>
  </si>
  <si>
    <t>FY2025A: 17.8% incl. regulatory credits (2.4% of auto rev.). Q4-25 auto GM 20.4%. OBBBA curtails credit programmes.</t>
  </si>
  <si>
    <t>Energy gross margin (%)</t>
  </si>
  <si>
    <t>FY2025A: 29.8% (computed from segment COGS).</t>
  </si>
  <si>
    <t>Services &amp; other gross margin (%)</t>
  </si>
  <si>
    <t>FY2025A: 7.4% (computed). Bull assumes software/FSD-subscription mix lifts margin.</t>
  </si>
  <si>
    <t>Operating drivers</t>
  </si>
  <si>
    <t>R&amp;D as % of revenue</t>
  </si>
  <si>
    <t>FY2025A 6.8%. Elevated on AI compute, Optimus, Cybercab (mgmt: AI spend stays elevated through 2026).</t>
  </si>
  <si>
    <t>SG&amp;A as % of revenue</t>
  </si>
  <si>
    <t>FY2025A 6.2%. Modest operating leverage assumed.</t>
  </si>
  <si>
    <t>Restructuring &amp; other ($mm)</t>
  </si>
  <si>
    <t>Non-recurring; forecast at zero.</t>
  </si>
  <si>
    <t>Stock-based compensation as % of revenue</t>
  </si>
  <si>
    <t>SBC is already embedded in R&amp;D / SG&amp;A %; this row only drives the cash-flow add-back and equity roll-forward.</t>
  </si>
  <si>
    <t>D&amp;A as % of opening PP&amp;E &amp; operating assets</t>
  </si>
  <si>
    <t>FY2025A 13.3% of opening balance. PP&amp;E line = operating lease vehicles + energy systems + PP&amp;E, net.</t>
  </si>
  <si>
    <t>Capex as % of revenue</t>
  </si>
  <si>
    <t>FY2026E ~ $21bn vs. mgmt guide "&gt;$20bn" (Q4-25 call). Fades as six new lines / compute build-out completes. Capex includes energy-system purchases (Tesla definition from Q1-25).</t>
  </si>
  <si>
    <t>Working capital &amp; other balance-sheet drivers</t>
  </si>
  <si>
    <t>Receivable days (on revenue)</t>
  </si>
  <si>
    <t>Held near FY2025A.</t>
  </si>
  <si>
    <t>Inventory days (on COGS)</t>
  </si>
  <si>
    <t>Prepaid &amp; other current assets, % of revenue</t>
  </si>
  <si>
    <t>Payable days (on COGS)</t>
  </si>
  <si>
    <t>Accrued liabilities &amp; other, % of revenue</t>
  </si>
  <si>
    <t>Deferred revenue (current + LT), % of revenue</t>
  </si>
  <si>
    <t>Change in other long-term liabilities ($mm)</t>
  </si>
  <si>
    <t>Mostly lease liabilities and warranty/other; held flat to stay consistent with flat ROU assets.</t>
  </si>
  <si>
    <t>Change in other non-current assets ($mm)</t>
  </si>
  <si>
    <t>ROU assets, deferred tax assets and other held flat. Digital assets held flat (not marked to market).</t>
  </si>
  <si>
    <t>Financing, tax &amp; other</t>
  </si>
  <si>
    <t>Interest income yield on opening cash &amp; investments</t>
  </si>
  <si>
    <t>Computed on opening balance to avoid circularity. FY2025A 4.6%.</t>
  </si>
  <si>
    <t>Interest rate on average debt</t>
  </si>
  <si>
    <t>Average book cost (FY2025A 4.1%). Distinct from the marginal cost of debt used in WACC below.</t>
  </si>
  <si>
    <t>Effective tax rate</t>
  </si>
  <si>
    <t>FY2025A 27.0%. FY2023A benefited from a $5.9bn valuation-allowance release, so is not a guide.</t>
  </si>
  <si>
    <t>Net income attributable to NCI ($mm)</t>
  </si>
  <si>
    <t>FY2025A $61mm. Accrues to NCI balance; no distributions modelled.</t>
  </si>
  <si>
    <t>Net debt issuance / (repayment) ($mm)</t>
  </si>
  <si>
    <t>Debt held flat; Tesla funds capex from internal cash ($44bn cash &amp; investments).</t>
  </si>
  <si>
    <t>Valuation inputs (used on DCF sheet)</t>
  </si>
  <si>
    <t>Risk-free rate (US 10-year Treasury)</t>
  </si>
  <si>
    <t>US 10Y yield 5.24% on 29-Sep-2026 (Trading Economics / MacroMicro). Highest since 2007 - dominates the cost of equity.</t>
  </si>
  <si>
    <t>Equity risk premium</t>
  </si>
  <si>
    <t>Analyst assumption (typical implied ERP range 4-5.5%). Test in the sensitivity table.</t>
  </si>
  <si>
    <t>Equity beta</t>
  </si>
  <si>
    <t>Published betas Sept-2026: 1.78 (TradingView), 1.84 (Google Finance), 1.91 (CNBC), 1.92 (MarketChameleon). 1.85 = rounded mid-range.</t>
  </si>
  <si>
    <t>Pre-tax cost of debt (marginal)</t>
  </si>
  <si>
    <t>Assumption: risk-free + ~30bp. Debt is &lt;1% of capital so WACC is insensitive to this.</t>
  </si>
  <si>
    <t>TSLA close 28-Sep-2026 (Yahoo Finance).</t>
  </si>
  <si>
    <t>Diluted shares outstanding (mm)</t>
  </si>
  <si>
    <t>Google Finance / CNBC shares outstanding ~3.95bn (ties to $1.41tn market cap). 10-K cover shows 3,752mm at 23-Jan-2026; Q4-25 weighted diluted 3,539mm. Sources differ - confirm from the 10-Q.</t>
  </si>
  <si>
    <t>Terminal growth rate</t>
  </si>
  <si>
    <t>Set below the risk-free rate / long-run nominal GDP.</t>
  </si>
  <si>
    <t>Tesla, Inc. - Income statement</t>
  </si>
  <si>
    <t>US$ millions, fiscal year ending 31 December. FY2025A = sum of four reported quarters (ties to 10-K totals).</t>
  </si>
  <si>
    <t>Automotive revenue</t>
  </si>
  <si>
    <t>Tesla Q4/FY2025 Update (8-K Ex. 99.1) - Financial Summary (annual); incl. sales, regulatory credits ($1,993mm FY25) and leasing</t>
  </si>
  <si>
    <t>Energy generation &amp; storage revenue</t>
  </si>
  <si>
    <t>Tesla Q4/FY2025 Update (8-K Ex. 99.1) - Financial Summary (annual)</t>
  </si>
  <si>
    <t>Services &amp; other revenue</t>
  </si>
  <si>
    <t>Total revenues</t>
  </si>
  <si>
    <t>Ties to reported: 96,773 / 97,690 / 94,827 (see Checks).</t>
  </si>
  <si>
    <t>Cost of revenues - Automotive</t>
  </si>
  <si>
    <t>FY25A = automotive sales COGS 56,267 + leasing COGS 898 (sum of quarters, p.28). Segment COGS not sourced for FY23-24.</t>
  </si>
  <si>
    <t>Cost of revenues - Energy</t>
  </si>
  <si>
    <t>Sum of Q1-Q4 2025 statements of operations, Tesla Q4/FY2025 Update p.28</t>
  </si>
  <si>
    <t>Cost of revenues - Services &amp; other</t>
  </si>
  <si>
    <t>Total cost of revenues</t>
  </si>
  <si>
    <t>FY23-24 derived: reported revenue less reported gross profit (17,660 / 17,450). FY25 = 77,733 (sum of segments).</t>
  </si>
  <si>
    <t>Gross profit</t>
  </si>
  <si>
    <t>Research &amp; development</t>
  </si>
  <si>
    <t>Selling, general &amp; administrative</t>
  </si>
  <si>
    <t>Restructuring &amp; other</t>
  </si>
  <si>
    <t>Total operating expenses</t>
  </si>
  <si>
    <t>FY23-24 shown in total only (line split not sourced). SBC and D&amp;A are embedded in COGS and opex.</t>
  </si>
  <si>
    <t>Operating income (EBIT)</t>
  </si>
  <si>
    <t>Ties to reported: 8,891 / 7,076 / 4,355.</t>
  </si>
  <si>
    <t>Interest income</t>
  </si>
  <si>
    <t>FY25A sum of quarters. Forecast = yield x opening cash &amp; investments.</t>
  </si>
  <si>
    <t>Interest expense</t>
  </si>
  <si>
    <t>Shown as positive number and subtracted. Source: EBITDA reconciliation, Tesla Q4/FY2025 Update p.32.</t>
  </si>
  <si>
    <t>Other income / (expense), net</t>
  </si>
  <si>
    <t>FY25A includes bitcoin mark-to-market and FX losses on intercompany borrowings. Forecast zero.</t>
  </si>
  <si>
    <t>Interest income, other &amp; NCI, net (derived, FY23-24 only)</t>
  </si>
  <si>
    <t>FY23-24 balancing item = NI to common + tax - EBIT + interest expense (line detail not sourced); FY23 also includes 5.9bn tax release in tax line.</t>
  </si>
  <si>
    <t>Income before income taxes</t>
  </si>
  <si>
    <t>FY25A ties to 5,278 (sum of quarters). FY23-24 approximate (NCI embedded).</t>
  </si>
  <si>
    <t>Provision for / (benefit from) income taxes</t>
  </si>
  <si>
    <t>Source: EBITDA reconciliation, Tesla Q4/FY2025 Update p.32.</t>
  </si>
  <si>
    <t>Net income</t>
  </si>
  <si>
    <t>Less: net income attributable to NCI</t>
  </si>
  <si>
    <t>FY25A: 11+18+16+16 (quarterly).</t>
  </si>
  <si>
    <t>Net income attributable to common stockholders</t>
  </si>
  <si>
    <t>Ties to reported GAAP: 14,997 / 7,091 / 3,794.</t>
  </si>
  <si>
    <t>Memo / ratios</t>
  </si>
  <si>
    <t>Revenue growth</t>
  </si>
  <si>
    <t>Gross margin</t>
  </si>
  <si>
    <t>Operating margin</t>
  </si>
  <si>
    <t>Depreciation, amortisation &amp; impairment</t>
  </si>
  <si>
    <t>EBITDA (EBIT + D&amp;A)</t>
  </si>
  <si>
    <t>Tesla's reported "Adjusted EBITDA" (14,596 FY25) also adds back SBC; this line does not.</t>
  </si>
  <si>
    <t>EBITDA margin</t>
  </si>
  <si>
    <t>Tesla, Inc. - Balance sheet</t>
  </si>
  <si>
    <t>US$ millions, 31 December. Line items grouped for modelling; groupings shown in notes. FY2023A not sourced.</t>
  </si>
  <si>
    <t>Cash, cash equivalents &amp; investments</t>
  </si>
  <si>
    <t>Tesla 10-K FY2025 / Q4-25 Update balance sheet (p.29). FY25: cash 16,513 + ST investments 27,546. Forecast = opening + net change in cash (CF).</t>
  </si>
  <si>
    <t>Accounts receivable, net</t>
  </si>
  <si>
    <t>Tesla 10-K FY2025 / Q4-25 Update balance sheet (p.29)</t>
  </si>
  <si>
    <t>Inventory</t>
  </si>
  <si>
    <t>Prepaid expenses &amp; other current assets</t>
  </si>
  <si>
    <t>Total current assets</t>
  </si>
  <si>
    <t>PP&amp;E and operating assets, net</t>
  </si>
  <si>
    <t>Forecast = opening + capex - D&amp;A.</t>
  </si>
  <si>
    <t>Digital assets</t>
  </si>
  <si>
    <t>Tesla 10-K FY2025 / Q4-25 Update balance sheet (p.29). Treated as non-operating asset in the EV bridge.</t>
  </si>
  <si>
    <t>Other non-current assets</t>
  </si>
  <si>
    <t>Operating lease ROU assets + deferred tax assets + other: 6,027 + 6,925 + 5,045 (FY25).</t>
  </si>
  <si>
    <t>Total assets</t>
  </si>
  <si>
    <t>Ties to reported: 122,070 (FY24) / 137,806 (FY25).</t>
  </si>
  <si>
    <t>Accounts payable</t>
  </si>
  <si>
    <t>Accrued liabilities &amp; other</t>
  </si>
  <si>
    <t>Deferred revenue (current + non-current)</t>
  </si>
  <si>
    <t>FY25: 3,424 + 3,631.</t>
  </si>
  <si>
    <t>Debt &amp; finance leases (current + non-current)</t>
  </si>
  <si>
    <t>FY25: 1,640 + 6,736. Almost all non-recourse (vehicle/energy financing).</t>
  </si>
  <si>
    <t>Other long-term liabilities</t>
  </si>
  <si>
    <t>Total liabilities</t>
  </si>
  <si>
    <t>Ties to reported: 48,390 (FY24) / 54,941 (FY25).</t>
  </si>
  <si>
    <t>Total stockholders' equity</t>
  </si>
  <si>
    <t>Forecast = opening + net income to common + SBC (credited to APIC). No buybacks or dividends.</t>
  </si>
  <si>
    <t>Non-controlling &amp; redeemable NCI</t>
  </si>
  <si>
    <t>FY25: 670 + 58 redeemable; FY24: 704 + 63.</t>
  </si>
  <si>
    <t>Total equity</t>
  </si>
  <si>
    <t>Total liabilities &amp; equity</t>
  </si>
  <si>
    <t>Balance check (assets - liabilities &amp; equity) - must be zero</t>
  </si>
  <si>
    <t>Tesla, Inc. - Cash flow statement</t>
  </si>
  <si>
    <t>US$ millions. FY2025A = sum of four reported quarters. FY2023-24 only headline items sourced.</t>
  </si>
  <si>
    <t>Net income (incl. NCI)</t>
  </si>
  <si>
    <t>FY25A 3,855 ties to sum of quarterly net income (420+1,190+1,389+856).</t>
  </si>
  <si>
    <t>Source: EBITDA reconciliation p.32; forecast = rate x opening PP&amp;E.</t>
  </si>
  <si>
    <t>Stock-based compensation</t>
  </si>
  <si>
    <t>Source: EBITDA reconciliation p.32.</t>
  </si>
  <si>
    <t>Other non-cash items</t>
  </si>
  <si>
    <t>FY25A: deferred taxes 123 + digital assets loss 68 + other 1,086. Forecast zero.</t>
  </si>
  <si>
    <t>Change in working capital &amp; other operating items</t>
  </si>
  <si>
    <t>FY25A: -554-673+2,083-214 (quarterly). Forecast = sum of balance-sheet movements (AR, inventory, prepaid, AP, accruals, deferred revenue, other LT).</t>
  </si>
  <si>
    <t>Net cash from operating activities</t>
  </si>
  <si>
    <t>FY25A ties to reported 14,747 (see Checks). FY23-24 as reported.</t>
  </si>
  <si>
    <t>Capital expenditures (incl. energy systems)</t>
  </si>
  <si>
    <t>Tesla definition from Q1-25 (includes purchases of energy generation &amp; storage systems), prior years restated.</t>
  </si>
  <si>
    <t>Net (purchases) / maturities of investments &amp; other</t>
  </si>
  <si>
    <t>FY25A: -37,109 purchases + 30,158 maturities. Forecast zero because BS cash line already includes investments.</t>
  </si>
  <si>
    <t>Net cash from investing activities</t>
  </si>
  <si>
    <t>FY25A ties to reported -15,478.</t>
  </si>
  <si>
    <t>Financing activities (debt, NCI, equity plan proceeds)</t>
  </si>
  <si>
    <t>FY25A: -332-222+983+710 (quarterly). Forecast = net debt issuance input only.</t>
  </si>
  <si>
    <t>Effect of FX on cash</t>
  </si>
  <si>
    <t>FY25A: 40+111-17+37.</t>
  </si>
  <si>
    <t>Net change in cash</t>
  </si>
  <si>
    <t>FY25A = change in cash &amp; restricted cash (579 reported). Forecast = change in cash &amp; investments on the BS.</t>
  </si>
  <si>
    <t>Free cash flow (CFO + capex)</t>
  </si>
  <si>
    <t>Tesla's definition. Ties to reported 4,357 / 3,581 / 6,220.</t>
  </si>
  <si>
    <t>Tesla, Inc. - Discounted cash flow (unlevered)</t>
  </si>
  <si>
    <t>Linked to the three statements. End-of-year discounting from 31-Dec-2025 balance sheet date. SBC treated as a real cost (not added back).</t>
  </si>
  <si>
    <t>Revenue</t>
  </si>
  <si>
    <t>EBIT</t>
  </si>
  <si>
    <t>EBIT margin</t>
  </si>
  <si>
    <t>Less: taxes on EBIT</t>
  </si>
  <si>
    <t>NOPAT</t>
  </si>
  <si>
    <t>Plus: D&amp;A</t>
  </si>
  <si>
    <t>Less: capital expenditures</t>
  </si>
  <si>
    <t>Plus / (less): change in working capital &amp; other operating items</t>
  </si>
  <si>
    <t>Sign convention: CF sheet movement (negative = cash outflow).</t>
  </si>
  <si>
    <t>Unlevered free cash flow (UFCF)</t>
  </si>
  <si>
    <t>NOPAT + D&amp;A - capex - change in working capital. SBC not added back (conservative, avoids ignoring dilution).</t>
  </si>
  <si>
    <t>Discount period (years)</t>
  </si>
  <si>
    <t>Discount factor</t>
  </si>
  <si>
    <t>PV of UFCF</t>
  </si>
  <si>
    <t>Cost of capital (WACC)</t>
  </si>
  <si>
    <t>Risk-free rate</t>
  </si>
  <si>
    <t>Cost of equity (CAPM)</t>
  </si>
  <si>
    <t>Cost of equity dominates: debt is &lt;1% of capital at market values.</t>
  </si>
  <si>
    <t>Pre-tax cost of debt</t>
  </si>
  <si>
    <t>Tax rate (terminal year)</t>
  </si>
  <si>
    <t>After-tax cost of debt</t>
  </si>
  <si>
    <t>Share price ($)</t>
  </si>
  <si>
    <t>Diluted shares (mm)</t>
  </si>
  <si>
    <t>Market capitalisation ($mm)</t>
  </si>
  <si>
    <t>Debt &amp; finance leases ($mm, FY2025A)</t>
  </si>
  <si>
    <t>Equity weight E/(D+E)</t>
  </si>
  <si>
    <t>Debt weight D/(D+E)</t>
  </si>
  <si>
    <t>A ~13-14% WACC reflects a 5.2% risk-free rate and a beta near 1.85.</t>
  </si>
  <si>
    <t>Terminal value &amp; enterprise value</t>
  </si>
  <si>
    <t>Terminal-year UFCF (FY2030E)</t>
  </si>
  <si>
    <t>Terminal value at FY2030E (Gordon growth)</t>
  </si>
  <si>
    <t>PV of terminal value</t>
  </si>
  <si>
    <t>Sum of PV of UFCF (FY2026E-30E)</t>
  </si>
  <si>
    <t>Enterprise value</t>
  </si>
  <si>
    <t>Terminal value as % of EV</t>
  </si>
  <si>
    <t>Implied terminal EV / EBITDA (FY2030E)</t>
  </si>
  <si>
    <t>Sanity check on the perpetuity: a mature auto/energy business typically trades 6-12x EBITDA.</t>
  </si>
  <si>
    <t>Terminal-year capex / D&amp;A</t>
  </si>
  <si>
    <t>Should sit near 1.0-1.3x in steady state; much higher means terminal FCF is understated, much lower means it is overstated.</t>
  </si>
  <si>
    <t>Enterprise value to equity value per share</t>
  </si>
  <si>
    <t>Less: debt &amp; finance leases</t>
  </si>
  <si>
    <t>Plus: cash, cash equivalents &amp; investments</t>
  </si>
  <si>
    <t>Plus: digital assets</t>
  </si>
  <si>
    <t>Less: non-controlling interests</t>
  </si>
  <si>
    <t>Balance-sheet items at 31-Dec-2025. Operating leases not treated as debt (consistent with UFCF after lease cost).</t>
  </si>
  <si>
    <t>Equity value</t>
  </si>
  <si>
    <t>Upside / (downside) vs. current price</t>
  </si>
  <si>
    <t>The gap to market price is the main finding: see reverse DCF below.</t>
  </si>
  <si>
    <t>Sensitivity: implied value per share ($) - WACC (down) vs. terminal growth (across)</t>
  </si>
  <si>
    <t>WACC \ g</t>
  </si>
  <si>
    <t>Centre cell (highlighted) equals the base-case value per share above.</t>
  </si>
  <si>
    <t>Reverse DCF: what the market price implies</t>
  </si>
  <si>
    <t>Implied market EV ($mm)</t>
  </si>
  <si>
    <t>Market cap + debt - cash - digital assets + NCI.</t>
  </si>
  <si>
    <t>Less: PV of modelled FY2026E-30E UFCF</t>
  </si>
  <si>
    <t>PV of terminal value the market requires</t>
  </si>
  <si>
    <t>Required terminal value at FY2030E</t>
  </si>
  <si>
    <t>Required FY2030E UFCF at model WACC and g</t>
  </si>
  <si>
    <t>Modelled FY2030E UFCF</t>
  </si>
  <si>
    <t>Required / modelled terminal UFCF</t>
  </si>
  <si>
    <t>How many times higher FY2030E free cash flow must be for today's price to be justified at this WACC - the robotaxi / Optimus optionality the market is paying for.</t>
  </si>
  <si>
    <t>Model integrity checks</t>
  </si>
  <si>
    <t>Differences should be zero. Reported figures are hard-coded inputs from Tesla filings; tolerance 0.5.</t>
  </si>
  <si>
    <t>Check ($mm)</t>
  </si>
  <si>
    <t>Reported figures (source)</t>
  </si>
  <si>
    <t>Reported total revenues</t>
  </si>
  <si>
    <t>Reported gross profit</t>
  </si>
  <si>
    <t>Reported income from operations</t>
  </si>
  <si>
    <t>Reported net income to common stockholders (GAAP)</t>
  </si>
  <si>
    <t>Reported operating cash flow</t>
  </si>
  <si>
    <t>Reported free cash flow</t>
  </si>
  <si>
    <t>Reported investing cash flow (FY2025)</t>
  </si>
  <si>
    <t>Sum of quarters, Q4/FY2025 Update p.30</t>
  </si>
  <si>
    <t>Reported net change in cash &amp; restricted cash (FY2025)</t>
  </si>
  <si>
    <t>Sum of quarters: 213-515+2,849-1,968</t>
  </si>
  <si>
    <t>Reported total assets</t>
  </si>
  <si>
    <t>Balance sheet, Q4/FY2025 Update p.29</t>
  </si>
  <si>
    <t>Reported total liabilities</t>
  </si>
  <si>
    <t>Differences (model - reported)</t>
  </si>
  <si>
    <t>Operating income</t>
  </si>
  <si>
    <t>Net income to common</t>
  </si>
  <si>
    <t>Operating cash flow</t>
  </si>
  <si>
    <t>Free cash flow</t>
  </si>
  <si>
    <t>Investing cash flow (FY2025)</t>
  </si>
  <si>
    <t>Net change in cash (FY2025)</t>
  </si>
  <si>
    <t>Balance sheet balances (assets - liabilities &amp; equity)</t>
  </si>
  <si>
    <t>Forecast: change in BS cash - CF net change in cash</t>
  </si>
  <si>
    <t>Sensitivity centre cell - DCF value per share</t>
  </si>
  <si>
    <t>OVERALL STATUS</t>
  </si>
  <si>
    <t>Sources &amp; data log</t>
  </si>
  <si>
    <t>Every hard-coded historical number and market input in the model traces to one of these.</t>
  </si>
  <si>
    <t>Item</t>
  </si>
  <si>
    <t>Used for</t>
  </si>
  <si>
    <t>Source</t>
  </si>
  <si>
    <t>Tesla Q4 &amp; FY2025 Update (8-K Ex. 99.1)</t>
  </si>
  <si>
    <t>FY2021-25 annual summary; Q4-24 to Q4-25 quarterly income statement, balance sheet, cash flow, non-GAAP reconciliations</t>
  </si>
  <si>
    <t>https://www.sec.gov/Archives/edgar/data/1318605/000162828026003837/exhibit991.htm</t>
  </si>
  <si>
    <t>Tesla Form 10-K, FY2025</t>
  </si>
  <si>
    <t>Balance sheet detail (cash vs. short-term investments), shares outstanding, debt principal ($8.18bn)</t>
  </si>
  <si>
    <t>https://www.sec.gov/Archives/edgar/data/1318605/000162828026003952/tsla-20251231.htm</t>
  </si>
  <si>
    <t>FY2025 quarterly aggregation</t>
  </si>
  <si>
    <t>FY2025A income statement and cash flow lines are the sum of Q1-Q4 2025 reported quarters; totals tie to the 10-K/Update annual figures (see Checks)</t>
  </si>
  <si>
    <t>Same as row 1</t>
  </si>
  <si>
    <t>FY2023-24 lines</t>
  </si>
  <si>
    <t>Reported totals only (revenue by segment, gross profit, opex, EBIT, interest expense, tax, net income, D&amp;A, SBC, CFO, capex). Segment COGS and detailed opex not sourced.</t>
  </si>
  <si>
    <t>Row 1, annual summary and reconciliation tables</t>
  </si>
  <si>
    <t>US 10-year Treasury yield 5.24%</t>
  </si>
  <si>
    <t>Risk-free rate (29-Sep-2026)</t>
  </si>
  <si>
    <t>https://tradingeconomics.com/united-states/government-bond-yield ; https://en.macromicro.me/series/354/10year-bond-yield</t>
  </si>
  <si>
    <t>TSLA share price $358.54</t>
  </si>
  <si>
    <t>Market capitalisation, WACC weights, upside/downside (close 28-Sep-2026)</t>
  </si>
  <si>
    <t>https://finance.yahoo.com/quote/TSLA/history/</t>
  </si>
  <si>
    <t>TSLA beta 1.78-1.92</t>
  </si>
  <si>
    <t>CAPM; 1.85 chosen</t>
  </si>
  <si>
    <t>https://www.tradingview.com/symbols/NASDAQ-TSLA/ ; https://www.cnbc.com/quotes/TSLA ; https://marketchameleon.com/Overview/TSLA</t>
  </si>
  <si>
    <t>Shares outstanding ~3.95bn</t>
  </si>
  <si>
    <t>Per-share value and market cap</t>
  </si>
  <si>
    <t>https://www.cnbc.com/quotes/TSLA ; https://www.google.com/finance/beta/quote/TSLA:NASDAQ</t>
  </si>
  <si>
    <t>2026 capex guidance "&gt;$20bn"</t>
  </si>
  <si>
    <t>FY2026E capex calibration</t>
  </si>
  <si>
    <t>https://quartr.com/events/tesla-inc-tsla-q4-2025_3ek6D0lv ; https://www.fool.com/earnings/call-transcripts/2026/01/28/tesla-tsla-q4-2025-earnings-call-transcript/</t>
  </si>
  <si>
    <t>Analyst assumptions</t>
  </si>
  <si>
    <t>ERP 4.5%, terminal growth 3.0%, all forecast drivers on Assumptions sheet</t>
  </si>
  <si>
    <t>Author judgement - flagged blue on Assumptions; no company guidance implied beyond 2026 capex.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</si>
</sst>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;\(#,##0\);\-"/>
    <numFmt numFmtId="165" formatCode="\$#,##0.00"/>
    <numFmt numFmtId="166" formatCode="0.0%;\(0.0%\)"/>
    <numFmt numFmtId="167" formatCode="0.0\x"/>
    <numFmt numFmtId="168" formatCode="0.0%;\(0.0%\);\-"/>
    <numFmt numFmtId="169" formatCode="0.0"/>
    <numFmt numFmtId="170" formatCode="0.000"/>
    <numFmt numFmtId="171" formatCode="0.0%"/>
  </numFmts>
  <fonts count="17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6"/>
      <name val="Arial"/>
      <family val="2"/>
    </font>
    <font>
      <i/>
      <sz val="9"/>
      <color rgb="FF59595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008000"/>
      <name val="Arial"/>
      <family val="2"/>
    </font>
    <font>
      <b/>
      <sz val="14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8000"/>
      <name val="Arial"/>
      <family val="2"/>
    </font>
    <font>
      <i/>
      <sz val="10"/>
      <name val="Arial"/>
      <family val="2"/>
    </font>
    <font>
      <i/>
      <sz val="10"/>
      <color rgb="FF000000"/>
      <name val="Arial"/>
      <family val="2"/>
    </font>
    <font>
      <b/>
      <sz val="10"/>
      <color rgb="FF0000FF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2">
    <border>
      <left/>
      <right/>
      <top/>
      <bottom/>
      <diagonal/>
    </border>
    <border>
      <left/>
      <right/>
      <top style="thin">
        <color rgb="FF808080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4" fillId="0" borderId="0" xfId="0" applyFont="1"/>
    <xf numFmtId="0" fontId="5" fillId="0" borderId="0" xfId="0" applyFont="1"/>
    <xf numFmtId="49" fontId="6" fillId="0" borderId="0" xfId="0" applyNumberFormat="1" applyFont="1" applyAlignment="1">
      <alignment horizontal="left"/>
    </xf>
    <xf numFmtId="10" fontId="6" fillId="0" borderId="0" xfId="0" applyNumberFormat="1" applyFont="1" applyAlignment="1">
      <alignment horizontal="left"/>
    </xf>
    <xf numFmtId="164" fontId="6" fillId="0" borderId="0" xfId="0" applyNumberFormat="1" applyFont="1" applyAlignment="1">
      <alignment horizontal="left"/>
    </xf>
    <xf numFmtId="165" fontId="6" fillId="0" borderId="0" xfId="0" applyNumberFormat="1" applyFont="1" applyAlignment="1">
      <alignment horizontal="left"/>
    </xf>
    <xf numFmtId="166" fontId="6" fillId="0" borderId="0" xfId="0" applyNumberFormat="1" applyFont="1" applyAlignment="1">
      <alignment horizontal="left"/>
    </xf>
    <xf numFmtId="167" fontId="6" fillId="0" borderId="0" xfId="0" applyNumberFormat="1" applyFont="1" applyAlignment="1">
      <alignment horizontal="left"/>
    </xf>
    <xf numFmtId="0" fontId="7" fillId="0" borderId="0" xfId="0" applyFont="1"/>
    <xf numFmtId="1" fontId="8" fillId="2" borderId="0" xfId="0" applyNumberFormat="1" applyFont="1" applyFill="1" applyAlignment="1">
      <alignment horizontal="right"/>
    </xf>
    <xf numFmtId="49" fontId="9" fillId="0" borderId="0" xfId="0" applyNumberFormat="1" applyFont="1" applyAlignment="1">
      <alignment horizontal="right"/>
    </xf>
    <xf numFmtId="0" fontId="10" fillId="3" borderId="0" xfId="0" applyFont="1" applyFill="1"/>
    <xf numFmtId="0" fontId="10" fillId="3" borderId="0" xfId="0" applyFont="1" applyFill="1" applyAlignment="1">
      <alignment horizontal="right"/>
    </xf>
    <xf numFmtId="0" fontId="4" fillId="4" borderId="0" xfId="0" applyFont="1" applyFill="1"/>
    <xf numFmtId="0" fontId="0" fillId="4" borderId="0" xfId="0" applyFill="1"/>
    <xf numFmtId="0" fontId="3" fillId="4" borderId="0" xfId="0" applyFont="1" applyFill="1"/>
    <xf numFmtId="0" fontId="5" fillId="0" borderId="0" xfId="0" applyFont="1" applyAlignment="1">
      <alignment indent="2"/>
    </xf>
    <xf numFmtId="168" fontId="8" fillId="0" borderId="0" xfId="0" applyNumberFormat="1" applyFont="1" applyAlignment="1">
      <alignment horizontal="right"/>
    </xf>
    <xf numFmtId="0" fontId="4" fillId="0" borderId="0" xfId="0" applyFont="1" applyAlignment="1">
      <alignment indent="1"/>
    </xf>
    <xf numFmtId="0" fontId="0" fillId="0" borderId="1" xfId="0" applyBorder="1"/>
    <xf numFmtId="168" fontId="11" fillId="0" borderId="1" xfId="0" applyNumberFormat="1" applyFont="1" applyBorder="1" applyAlignment="1">
      <alignment horizontal="right"/>
    </xf>
    <xf numFmtId="168" fontId="9" fillId="0" borderId="0" xfId="0" applyNumberFormat="1" applyFont="1" applyAlignment="1">
      <alignment horizontal="right"/>
    </xf>
    <xf numFmtId="164" fontId="12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right"/>
    </xf>
    <xf numFmtId="168" fontId="8" fillId="2" borderId="0" xfId="0" applyNumberFormat="1" applyFont="1" applyFill="1" applyAlignment="1">
      <alignment horizontal="right"/>
    </xf>
    <xf numFmtId="169" fontId="9" fillId="0" borderId="0" xfId="0" applyNumberFormat="1" applyFont="1" applyAlignment="1">
      <alignment horizontal="right"/>
    </xf>
    <xf numFmtId="169" fontId="8" fillId="0" borderId="0" xfId="0" applyNumberFormat="1" applyFont="1" applyAlignment="1">
      <alignment horizontal="right"/>
    </xf>
    <xf numFmtId="168" fontId="12" fillId="0" borderId="0" xfId="0" applyNumberFormat="1" applyFont="1" applyAlignment="1">
      <alignment horizontal="right"/>
    </xf>
    <xf numFmtId="10" fontId="8" fillId="2" borderId="0" xfId="0" applyNumberFormat="1" applyFont="1" applyFill="1" applyAlignment="1">
      <alignment horizontal="right"/>
    </xf>
    <xf numFmtId="2" fontId="8" fillId="2" borderId="0" xfId="0" applyNumberFormat="1" applyFont="1" applyFill="1" applyAlignment="1">
      <alignment horizontal="right"/>
    </xf>
    <xf numFmtId="10" fontId="8" fillId="0" borderId="0" xfId="0" applyNumberFormat="1" applyFont="1" applyAlignment="1">
      <alignment horizontal="right"/>
    </xf>
    <xf numFmtId="165" fontId="8" fillId="0" borderId="0" xfId="0" applyNumberFormat="1" applyFont="1" applyAlignment="1">
      <alignment horizontal="right"/>
    </xf>
    <xf numFmtId="164" fontId="9" fillId="0" borderId="0" xfId="0" applyNumberFormat="1" applyFont="1" applyAlignment="1">
      <alignment horizontal="right"/>
    </xf>
    <xf numFmtId="164" fontId="11" fillId="0" borderId="1" xfId="0" applyNumberFormat="1" applyFont="1" applyBorder="1" applyAlignment="1">
      <alignment horizontal="right"/>
    </xf>
    <xf numFmtId="0" fontId="5" fillId="0" borderId="0" xfId="0" applyFont="1" applyAlignment="1">
      <alignment indent="1"/>
    </xf>
    <xf numFmtId="164" fontId="8" fillId="0" borderId="1" xfId="0" applyNumberFormat="1" applyFont="1" applyBorder="1" applyAlignment="1">
      <alignment horizontal="right"/>
    </xf>
    <xf numFmtId="164" fontId="9" fillId="0" borderId="1" xfId="0" applyNumberFormat="1" applyFont="1" applyBorder="1" applyAlignment="1">
      <alignment horizontal="right"/>
    </xf>
    <xf numFmtId="164" fontId="11" fillId="0" borderId="0" xfId="0" applyNumberFormat="1" applyFont="1" applyAlignment="1">
      <alignment horizontal="right"/>
    </xf>
    <xf numFmtId="0" fontId="13" fillId="0" borderId="0" xfId="0" applyFont="1"/>
    <xf numFmtId="164" fontId="14" fillId="0" borderId="0" xfId="0" applyNumberFormat="1" applyFont="1" applyAlignment="1">
      <alignment horizontal="right"/>
    </xf>
    <xf numFmtId="164" fontId="15" fillId="0" borderId="1" xfId="0" applyNumberFormat="1" applyFont="1" applyBorder="1" applyAlignment="1">
      <alignment horizontal="right"/>
    </xf>
    <xf numFmtId="168" fontId="14" fillId="0" borderId="0" xfId="0" applyNumberFormat="1" applyFont="1" applyAlignment="1">
      <alignment horizontal="right"/>
    </xf>
    <xf numFmtId="170" fontId="9" fillId="0" borderId="0" xfId="0" applyNumberFormat="1" applyFont="1" applyAlignment="1">
      <alignment horizontal="right"/>
    </xf>
    <xf numFmtId="10" fontId="12" fillId="0" borderId="0" xfId="0" applyNumberFormat="1" applyFont="1" applyAlignment="1">
      <alignment horizontal="right"/>
    </xf>
    <xf numFmtId="2" fontId="12" fillId="0" borderId="0" xfId="0" applyNumberFormat="1" applyFont="1" applyAlignment="1">
      <alignment horizontal="right"/>
    </xf>
    <xf numFmtId="10" fontId="9" fillId="0" borderId="0" xfId="0" applyNumberFormat="1" applyFont="1" applyAlignment="1">
      <alignment horizontal="right"/>
    </xf>
    <xf numFmtId="165" fontId="12" fillId="0" borderId="0" xfId="0" applyNumberFormat="1" applyFont="1" applyAlignment="1">
      <alignment horizontal="right"/>
    </xf>
    <xf numFmtId="171" fontId="9" fillId="0" borderId="0" xfId="0" applyNumberFormat="1" applyFont="1" applyAlignment="1">
      <alignment horizontal="right"/>
    </xf>
    <xf numFmtId="10" fontId="11" fillId="2" borderId="1" xfId="0" applyNumberFormat="1" applyFont="1" applyFill="1" applyBorder="1" applyAlignment="1">
      <alignment horizontal="right"/>
    </xf>
    <xf numFmtId="167" fontId="9" fillId="0" borderId="0" xfId="0" applyNumberFormat="1" applyFont="1" applyAlignment="1">
      <alignment horizontal="right"/>
    </xf>
    <xf numFmtId="165" fontId="11" fillId="0" borderId="0" xfId="0" applyNumberFormat="1" applyFont="1" applyAlignment="1">
      <alignment horizontal="right"/>
    </xf>
    <xf numFmtId="165" fontId="9" fillId="0" borderId="0" xfId="0" applyNumberFormat="1" applyFont="1" applyAlignment="1">
      <alignment horizontal="right"/>
    </xf>
    <xf numFmtId="166" fontId="9" fillId="0" borderId="0" xfId="0" applyNumberFormat="1" applyFont="1" applyAlignment="1">
      <alignment horizontal="right"/>
    </xf>
    <xf numFmtId="0" fontId="9" fillId="0" borderId="0" xfId="0" applyFont="1"/>
    <xf numFmtId="171" fontId="11" fillId="0" borderId="0" xfId="0" applyNumberFormat="1" applyFont="1" applyAlignment="1">
      <alignment horizontal="right"/>
    </xf>
    <xf numFmtId="165" fontId="9" fillId="2" borderId="0" xfId="0" applyNumberFormat="1" applyFont="1" applyFill="1" applyAlignment="1">
      <alignment horizontal="right"/>
    </xf>
    <xf numFmtId="167" fontId="11" fillId="0" borderId="0" xfId="0" applyNumberFormat="1" applyFont="1" applyAlignment="1">
      <alignment horizontal="right"/>
    </xf>
    <xf numFmtId="2" fontId="9" fillId="0" borderId="0" xfId="0" applyNumberFormat="1" applyFont="1" applyAlignment="1">
      <alignment horizontal="right"/>
    </xf>
    <xf numFmtId="49" fontId="11" fillId="0" borderId="0" xfId="0" applyNumberFormat="1" applyFont="1" applyAlignment="1">
      <alignment horizontal="left"/>
    </xf>
    <xf numFmtId="0" fontId="16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showGridLines="0" topLeftCell="A10" zoomScale="150" zoomScaleNormal="100" workbookViewId="0">
      <selection activeCell="B10" sqref="B10"/>
    </sheetView>
  </sheetViews>
  <sheetFormatPr baseColWidth="10" defaultColWidth="8.6640625" defaultRowHeight="15" x14ac:dyDescent="0.2"/>
  <cols>
    <col min="1" max="1" width="34" customWidth="1"/>
    <col min="2" max="2" width="110" customWidth="1"/>
  </cols>
  <sheetData>
    <row r="1" spans="1:2" ht="20" x14ac:dyDescent="0.2">
      <c r="A1" s="1" t="s">
        <v>0</v>
      </c>
    </row>
    <row r="2" spans="1:2" x14ac:dyDescent="0.2">
      <c r="A2" s="2" t="s">
        <v>1</v>
      </c>
    </row>
    <row r="4" spans="1:2" ht="48" customHeight="1" x14ac:dyDescent="0.2">
      <c r="A4" s="3" t="s">
        <v>2</v>
      </c>
      <c r="B4" s="4" t="s">
        <v>3</v>
      </c>
    </row>
    <row r="5" spans="1:2" ht="33.75" customHeight="1" x14ac:dyDescent="0.2">
      <c r="A5" s="3" t="s">
        <v>4</v>
      </c>
      <c r="B5" s="4" t="s">
        <v>5</v>
      </c>
    </row>
    <row r="6" spans="1:2" ht="33.75" customHeight="1" x14ac:dyDescent="0.2">
      <c r="A6" s="3" t="s">
        <v>6</v>
      </c>
      <c r="B6" s="4" t="s">
        <v>7</v>
      </c>
    </row>
    <row r="7" spans="1:2" ht="48" customHeight="1" x14ac:dyDescent="0.2">
      <c r="A7" s="3" t="s">
        <v>8</v>
      </c>
      <c r="B7" s="4" t="s">
        <v>9</v>
      </c>
    </row>
    <row r="8" spans="1:2" ht="48" customHeight="1" x14ac:dyDescent="0.2">
      <c r="A8" s="3" t="s">
        <v>10</v>
      </c>
      <c r="B8" s="4" t="s">
        <v>11</v>
      </c>
    </row>
    <row r="9" spans="1:2" ht="91.5" customHeight="1" x14ac:dyDescent="0.2">
      <c r="A9" s="3" t="s">
        <v>12</v>
      </c>
      <c r="B9" s="65" t="s">
        <v>13</v>
      </c>
    </row>
    <row r="10" spans="1:2" ht="91.5" customHeight="1" x14ac:dyDescent="0.2">
      <c r="A10" s="3" t="s">
        <v>14</v>
      </c>
      <c r="B10" s="4" t="s">
        <v>15</v>
      </c>
    </row>
    <row r="11" spans="1:2" ht="33.75" customHeight="1" x14ac:dyDescent="0.2">
      <c r="A11" s="3" t="s">
        <v>16</v>
      </c>
      <c r="B11" s="4" t="s">
        <v>17</v>
      </c>
    </row>
    <row r="13" spans="1:2" x14ac:dyDescent="0.2">
      <c r="A13" s="5" t="s">
        <v>18</v>
      </c>
    </row>
    <row r="14" spans="1:2" x14ac:dyDescent="0.2">
      <c r="A14" s="6" t="s">
        <v>19</v>
      </c>
      <c r="B14" s="7" t="str">
        <f>Assumptions!B4</f>
        <v>Base</v>
      </c>
    </row>
    <row r="15" spans="1:2" x14ac:dyDescent="0.2">
      <c r="A15" s="6" t="s">
        <v>20</v>
      </c>
      <c r="B15" s="8">
        <f>DCF!B34</f>
        <v>0.1350949744456198</v>
      </c>
    </row>
    <row r="16" spans="1:2" x14ac:dyDescent="0.2">
      <c r="A16" s="6" t="s">
        <v>21</v>
      </c>
      <c r="B16" s="9">
        <f>DCF!B42</f>
        <v>42241.132841073988</v>
      </c>
    </row>
    <row r="17" spans="1:2" x14ac:dyDescent="0.2">
      <c r="A17" s="6" t="s">
        <v>22</v>
      </c>
      <c r="B17" s="10">
        <f>DCF!B55</f>
        <v>19.798514643309872</v>
      </c>
    </row>
    <row r="18" spans="1:2" x14ac:dyDescent="0.2">
      <c r="A18" s="6" t="s">
        <v>23</v>
      </c>
      <c r="B18" s="10">
        <f>DCF!B56</f>
        <v>358.54</v>
      </c>
    </row>
    <row r="19" spans="1:2" x14ac:dyDescent="0.2">
      <c r="A19" s="6" t="s">
        <v>24</v>
      </c>
      <c r="B19" s="11">
        <f>DCF!B57</f>
        <v>-0.94478017893872412</v>
      </c>
    </row>
    <row r="20" spans="1:2" x14ac:dyDescent="0.2">
      <c r="A20" s="6" t="s">
        <v>25</v>
      </c>
      <c r="B20" s="12">
        <f>DCF!B75</f>
        <v>31.328580905526287</v>
      </c>
    </row>
    <row r="21" spans="1:2" x14ac:dyDescent="0.2">
      <c r="A21" s="6" t="s">
        <v>26</v>
      </c>
      <c r="B21" s="7" t="str">
        <f>Checks!B32</f>
        <v>ALL CHECKS PASS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6"/>
  <sheetViews>
    <sheetView showGridLines="0" zoomScaleNormal="100" workbookViewId="0">
      <pane xSplit="1" ySplit="6" topLeftCell="B44" activePane="bottomRight" state="frozen"/>
      <selection pane="topRight" activeCell="B1" sqref="B1"/>
      <selection pane="bottomLeft" activeCell="A7" sqref="A7"/>
      <selection pane="bottomRight" activeCell="E9" sqref="E9"/>
    </sheetView>
  </sheetViews>
  <sheetFormatPr baseColWidth="10" defaultColWidth="8.6640625" defaultRowHeight="15" x14ac:dyDescent="0.2"/>
  <cols>
    <col min="1" max="1" width="48" customWidth="1"/>
    <col min="2" max="9" width="12" customWidth="1"/>
    <col min="10" max="10" width="70" customWidth="1"/>
  </cols>
  <sheetData>
    <row r="1" spans="1:10" ht="18" x14ac:dyDescent="0.2">
      <c r="A1" s="13" t="s">
        <v>27</v>
      </c>
    </row>
    <row r="2" spans="1:10" x14ac:dyDescent="0.2">
      <c r="A2" s="2" t="s">
        <v>28</v>
      </c>
    </row>
    <row r="3" spans="1:10" x14ac:dyDescent="0.2">
      <c r="A3" s="5" t="s">
        <v>29</v>
      </c>
      <c r="B3" s="14">
        <v>2</v>
      </c>
      <c r="J3" s="2" t="s">
        <v>30</v>
      </c>
    </row>
    <row r="4" spans="1:10" x14ac:dyDescent="0.2">
      <c r="A4" s="6" t="s">
        <v>19</v>
      </c>
      <c r="B4" s="15" t="str">
        <f>CHOOSE(B3,"Bear","Base","Bull")</f>
        <v>Base</v>
      </c>
    </row>
    <row r="6" spans="1:10" x14ac:dyDescent="0.2">
      <c r="A6" s="16" t="s">
        <v>31</v>
      </c>
      <c r="B6" s="17" t="s">
        <v>32</v>
      </c>
      <c r="C6" s="17" t="s">
        <v>33</v>
      </c>
      <c r="D6" s="17" t="s">
        <v>34</v>
      </c>
      <c r="E6" s="17" t="s">
        <v>35</v>
      </c>
      <c r="F6" s="17" t="s">
        <v>36</v>
      </c>
      <c r="G6" s="17" t="s">
        <v>37</v>
      </c>
      <c r="H6" s="17" t="s">
        <v>38</v>
      </c>
      <c r="I6" s="17" t="s">
        <v>39</v>
      </c>
      <c r="J6" s="16" t="s">
        <v>40</v>
      </c>
    </row>
    <row r="8" spans="1:10" x14ac:dyDescent="0.2">
      <c r="A8" s="18" t="s">
        <v>41</v>
      </c>
      <c r="B8" s="19"/>
      <c r="C8" s="19"/>
      <c r="D8" s="19"/>
      <c r="E8" s="19"/>
      <c r="F8" s="19"/>
      <c r="G8" s="19"/>
      <c r="H8" s="19"/>
      <c r="I8" s="19"/>
      <c r="J8" s="20" t="s">
        <v>42</v>
      </c>
    </row>
    <row r="9" spans="1:10" x14ac:dyDescent="0.2">
      <c r="A9" s="21" t="s">
        <v>43</v>
      </c>
      <c r="E9" s="22">
        <v>-0.04</v>
      </c>
      <c r="F9" s="22">
        <v>0</v>
      </c>
      <c r="G9" s="22">
        <v>0.02</v>
      </c>
      <c r="H9" s="22">
        <v>0.02</v>
      </c>
      <c r="I9" s="22">
        <v>0.02</v>
      </c>
    </row>
    <row r="10" spans="1:10" x14ac:dyDescent="0.2">
      <c r="A10" s="21" t="s">
        <v>44</v>
      </c>
      <c r="E10" s="22">
        <v>0.02</v>
      </c>
      <c r="F10" s="22">
        <v>0.05</v>
      </c>
      <c r="G10" s="22">
        <v>0.06</v>
      </c>
      <c r="H10" s="22">
        <v>0.05</v>
      </c>
      <c r="I10" s="22">
        <v>0.04</v>
      </c>
    </row>
    <row r="11" spans="1:10" x14ac:dyDescent="0.2">
      <c r="A11" s="21" t="s">
        <v>45</v>
      </c>
      <c r="E11" s="22">
        <v>0.08</v>
      </c>
      <c r="F11" s="22">
        <v>0.12</v>
      </c>
      <c r="G11" s="22">
        <v>0.14000000000000001</v>
      </c>
      <c r="H11" s="22">
        <v>0.12</v>
      </c>
      <c r="I11" s="22">
        <v>0.1</v>
      </c>
    </row>
    <row r="12" spans="1:10" x14ac:dyDescent="0.2">
      <c r="A12" s="23" t="s">
        <v>46</v>
      </c>
      <c r="B12" s="24"/>
      <c r="C12" s="25">
        <f>IS!C6/IS!B6-1</f>
        <v>-6.4900083718560042E-2</v>
      </c>
      <c r="D12" s="25">
        <f>IS!D6/IS!C6-1</f>
        <v>-9.7885039574412858E-2</v>
      </c>
      <c r="E12" s="25">
        <f>CHOOSE($B$3,E9,E10,E11)</f>
        <v>0.02</v>
      </c>
      <c r="F12" s="25">
        <f>CHOOSE($B$3,F9,F10,F11)</f>
        <v>0.05</v>
      </c>
      <c r="G12" s="25">
        <f>CHOOSE($B$3,G9,G10,G11)</f>
        <v>0.06</v>
      </c>
      <c r="H12" s="25">
        <f>CHOOSE($B$3,H9,H10,H11)</f>
        <v>0.05</v>
      </c>
      <c r="I12" s="25">
        <f>CHOOSE($B$3,I9,I10,I11)</f>
        <v>0.04</v>
      </c>
    </row>
    <row r="14" spans="1:10" x14ac:dyDescent="0.2">
      <c r="A14" s="18" t="s">
        <v>47</v>
      </c>
      <c r="B14" s="19"/>
      <c r="C14" s="19"/>
      <c r="D14" s="19"/>
      <c r="E14" s="19"/>
      <c r="F14" s="19"/>
      <c r="G14" s="19"/>
      <c r="H14" s="19"/>
      <c r="I14" s="19"/>
      <c r="J14" s="20" t="s">
        <v>48</v>
      </c>
    </row>
    <row r="15" spans="1:10" x14ac:dyDescent="0.2">
      <c r="A15" s="21" t="s">
        <v>43</v>
      </c>
      <c r="E15" s="22">
        <v>0.12</v>
      </c>
      <c r="F15" s="22">
        <v>0.1</v>
      </c>
      <c r="G15" s="22">
        <v>0.08</v>
      </c>
      <c r="H15" s="22">
        <v>0.06</v>
      </c>
      <c r="I15" s="22">
        <v>0.05</v>
      </c>
    </row>
    <row r="16" spans="1:10" x14ac:dyDescent="0.2">
      <c r="A16" s="21" t="s">
        <v>44</v>
      </c>
      <c r="E16" s="22">
        <v>0.25</v>
      </c>
      <c r="F16" s="22">
        <v>0.22</v>
      </c>
      <c r="G16" s="22">
        <v>0.18</v>
      </c>
      <c r="H16" s="22">
        <v>0.15</v>
      </c>
      <c r="I16" s="22">
        <v>0.12</v>
      </c>
    </row>
    <row r="17" spans="1:10" x14ac:dyDescent="0.2">
      <c r="A17" s="21" t="s">
        <v>45</v>
      </c>
      <c r="E17" s="22">
        <v>0.35</v>
      </c>
      <c r="F17" s="22">
        <v>0.3</v>
      </c>
      <c r="G17" s="22">
        <v>0.25</v>
      </c>
      <c r="H17" s="22">
        <v>0.2</v>
      </c>
      <c r="I17" s="22">
        <v>0.15</v>
      </c>
    </row>
    <row r="18" spans="1:10" x14ac:dyDescent="0.2">
      <c r="A18" s="23" t="s">
        <v>46</v>
      </c>
      <c r="B18" s="24"/>
      <c r="C18" s="25">
        <f>IS!C7/IS!B7-1</f>
        <v>0.67125103562551791</v>
      </c>
      <c r="D18" s="25">
        <f>IS!D7/IS!C7-1</f>
        <v>0.26621058893515759</v>
      </c>
      <c r="E18" s="25">
        <f>CHOOSE($B$3,E15,E16,E17)</f>
        <v>0.25</v>
      </c>
      <c r="F18" s="25">
        <f>CHOOSE($B$3,F15,F16,F17)</f>
        <v>0.22</v>
      </c>
      <c r="G18" s="25">
        <f>CHOOSE($B$3,G15,G16,G17)</f>
        <v>0.18</v>
      </c>
      <c r="H18" s="25">
        <f>CHOOSE($B$3,H15,H16,H17)</f>
        <v>0.15</v>
      </c>
      <c r="I18" s="25">
        <f>CHOOSE($B$3,I15,I16,I17)</f>
        <v>0.12</v>
      </c>
    </row>
    <row r="20" spans="1:10" x14ac:dyDescent="0.2">
      <c r="A20" s="18" t="s">
        <v>49</v>
      </c>
      <c r="B20" s="19"/>
      <c r="C20" s="19"/>
      <c r="D20" s="19"/>
      <c r="E20" s="19"/>
      <c r="F20" s="19"/>
      <c r="G20" s="19"/>
      <c r="H20" s="19"/>
      <c r="I20" s="19"/>
      <c r="J20" s="20" t="s">
        <v>50</v>
      </c>
    </row>
    <row r="21" spans="1:10" x14ac:dyDescent="0.2">
      <c r="A21" s="21" t="s">
        <v>43</v>
      </c>
      <c r="E21" s="22">
        <v>0.08</v>
      </c>
      <c r="F21" s="22">
        <v>7.0000000000000007E-2</v>
      </c>
      <c r="G21" s="22">
        <v>0.06</v>
      </c>
      <c r="H21" s="22">
        <v>0.05</v>
      </c>
      <c r="I21" s="22">
        <v>0.04</v>
      </c>
    </row>
    <row r="22" spans="1:10" x14ac:dyDescent="0.2">
      <c r="A22" s="21" t="s">
        <v>44</v>
      </c>
      <c r="E22" s="22">
        <v>0.18</v>
      </c>
      <c r="F22" s="22">
        <v>0.16</v>
      </c>
      <c r="G22" s="22">
        <v>0.14000000000000001</v>
      </c>
      <c r="H22" s="22">
        <v>0.12</v>
      </c>
      <c r="I22" s="22">
        <v>0.1</v>
      </c>
    </row>
    <row r="23" spans="1:10" x14ac:dyDescent="0.2">
      <c r="A23" s="21" t="s">
        <v>45</v>
      </c>
      <c r="E23" s="22">
        <v>0.25</v>
      </c>
      <c r="F23" s="22">
        <v>0.24</v>
      </c>
      <c r="G23" s="22">
        <v>0.22</v>
      </c>
      <c r="H23" s="22">
        <v>0.2</v>
      </c>
      <c r="I23" s="22">
        <v>0.18</v>
      </c>
    </row>
    <row r="24" spans="1:10" x14ac:dyDescent="0.2">
      <c r="A24" s="23" t="s">
        <v>46</v>
      </c>
      <c r="B24" s="24"/>
      <c r="C24" s="25">
        <f>IS!C8/IS!B8-1</f>
        <v>0.26625796369755972</v>
      </c>
      <c r="D24" s="25">
        <f>IS!D8/IS!C8-1</f>
        <v>0.18948167837478636</v>
      </c>
      <c r="E24" s="25">
        <f>CHOOSE($B$3,E21,E22,E23)</f>
        <v>0.18</v>
      </c>
      <c r="F24" s="25">
        <f>CHOOSE($B$3,F21,F22,F23)</f>
        <v>0.16</v>
      </c>
      <c r="G24" s="25">
        <f>CHOOSE($B$3,G21,G22,G23)</f>
        <v>0.14000000000000001</v>
      </c>
      <c r="H24" s="25">
        <f>CHOOSE($B$3,H21,H22,H23)</f>
        <v>0.12</v>
      </c>
      <c r="I24" s="25">
        <f>CHOOSE($B$3,I21,I22,I23)</f>
        <v>0.1</v>
      </c>
    </row>
    <row r="26" spans="1:10" x14ac:dyDescent="0.2">
      <c r="A26" s="18" t="s">
        <v>51</v>
      </c>
      <c r="B26" s="19"/>
      <c r="C26" s="19"/>
      <c r="D26" s="19"/>
      <c r="E26" s="19"/>
      <c r="F26" s="19"/>
      <c r="G26" s="19"/>
      <c r="H26" s="19"/>
      <c r="I26" s="19"/>
      <c r="J26" s="20" t="s">
        <v>52</v>
      </c>
    </row>
    <row r="27" spans="1:10" x14ac:dyDescent="0.2">
      <c r="A27" s="21" t="s">
        <v>43</v>
      </c>
      <c r="E27" s="22">
        <v>0.16</v>
      </c>
      <c r="F27" s="22">
        <v>0.16</v>
      </c>
      <c r="G27" s="22">
        <v>0.16500000000000001</v>
      </c>
      <c r="H27" s="22">
        <v>0.16500000000000001</v>
      </c>
      <c r="I27" s="22">
        <v>0.17</v>
      </c>
    </row>
    <row r="28" spans="1:10" x14ac:dyDescent="0.2">
      <c r="A28" s="21" t="s">
        <v>44</v>
      </c>
      <c r="E28" s="22">
        <v>0.18</v>
      </c>
      <c r="F28" s="22">
        <v>0.185</v>
      </c>
      <c r="G28" s="22">
        <v>0.19</v>
      </c>
      <c r="H28" s="22">
        <v>0.19500000000000001</v>
      </c>
      <c r="I28" s="22">
        <v>0.2</v>
      </c>
    </row>
    <row r="29" spans="1:10" x14ac:dyDescent="0.2">
      <c r="A29" s="21" t="s">
        <v>45</v>
      </c>
      <c r="E29" s="22">
        <v>0.19500000000000001</v>
      </c>
      <c r="F29" s="22">
        <v>0.21</v>
      </c>
      <c r="G29" s="22">
        <v>0.22500000000000001</v>
      </c>
      <c r="H29" s="22">
        <v>0.24</v>
      </c>
      <c r="I29" s="22">
        <v>0.25</v>
      </c>
    </row>
    <row r="30" spans="1:10" x14ac:dyDescent="0.2">
      <c r="A30" s="23" t="s">
        <v>46</v>
      </c>
      <c r="B30" s="24"/>
      <c r="C30" s="24"/>
      <c r="D30" s="25">
        <f>1-IS!D11/IS!D6</f>
        <v>0.17778960388919252</v>
      </c>
      <c r="E30" s="25">
        <f>CHOOSE($B$3,E27,E28,E29)</f>
        <v>0.18</v>
      </c>
      <c r="F30" s="25">
        <f>CHOOSE($B$3,F27,F28,F29)</f>
        <v>0.185</v>
      </c>
      <c r="G30" s="25">
        <f>CHOOSE($B$3,G27,G28,G29)</f>
        <v>0.19</v>
      </c>
      <c r="H30" s="25">
        <f>CHOOSE($B$3,H27,H28,H29)</f>
        <v>0.19500000000000001</v>
      </c>
      <c r="I30" s="25">
        <f>CHOOSE($B$3,I27,I28,I29)</f>
        <v>0.2</v>
      </c>
    </row>
    <row r="32" spans="1:10" x14ac:dyDescent="0.2">
      <c r="A32" s="18" t="s">
        <v>53</v>
      </c>
      <c r="B32" s="19"/>
      <c r="C32" s="19"/>
      <c r="D32" s="19"/>
      <c r="E32" s="19"/>
      <c r="F32" s="19"/>
      <c r="G32" s="19"/>
      <c r="H32" s="19"/>
      <c r="I32" s="19"/>
      <c r="J32" s="20" t="s">
        <v>54</v>
      </c>
    </row>
    <row r="33" spans="1:10" x14ac:dyDescent="0.2">
      <c r="A33" s="21" t="s">
        <v>43</v>
      </c>
      <c r="E33" s="22">
        <v>0.27</v>
      </c>
      <c r="F33" s="22">
        <v>0.26</v>
      </c>
      <c r="G33" s="22">
        <v>0.25</v>
      </c>
      <c r="H33" s="22">
        <v>0.25</v>
      </c>
      <c r="I33" s="22">
        <v>0.25</v>
      </c>
    </row>
    <row r="34" spans="1:10" x14ac:dyDescent="0.2">
      <c r="A34" s="21" t="s">
        <v>44</v>
      </c>
      <c r="E34" s="22">
        <v>0.3</v>
      </c>
      <c r="F34" s="22">
        <v>0.3</v>
      </c>
      <c r="G34" s="22">
        <v>0.3</v>
      </c>
      <c r="H34" s="22">
        <v>0.29499999999999998</v>
      </c>
      <c r="I34" s="22">
        <v>0.28999999999999998</v>
      </c>
    </row>
    <row r="35" spans="1:10" x14ac:dyDescent="0.2">
      <c r="A35" s="21" t="s">
        <v>45</v>
      </c>
      <c r="E35" s="22">
        <v>0.31</v>
      </c>
      <c r="F35" s="22">
        <v>0.32</v>
      </c>
      <c r="G35" s="22">
        <v>0.32</v>
      </c>
      <c r="H35" s="22">
        <v>0.32</v>
      </c>
      <c r="I35" s="22">
        <v>0.32</v>
      </c>
    </row>
    <row r="36" spans="1:10" x14ac:dyDescent="0.2">
      <c r="A36" s="23" t="s">
        <v>46</v>
      </c>
      <c r="B36" s="24"/>
      <c r="C36" s="24"/>
      <c r="D36" s="25">
        <f>1-IS!D12/IS!D7</f>
        <v>0.29770573956620472</v>
      </c>
      <c r="E36" s="25">
        <f>CHOOSE($B$3,E33,E34,E35)</f>
        <v>0.3</v>
      </c>
      <c r="F36" s="25">
        <f>CHOOSE($B$3,F33,F34,F35)</f>
        <v>0.3</v>
      </c>
      <c r="G36" s="25">
        <f>CHOOSE($B$3,G33,G34,G35)</f>
        <v>0.3</v>
      </c>
      <c r="H36" s="25">
        <f>CHOOSE($B$3,H33,H34,H35)</f>
        <v>0.29499999999999998</v>
      </c>
      <c r="I36" s="25">
        <f>CHOOSE($B$3,I33,I34,I35)</f>
        <v>0.28999999999999998</v>
      </c>
    </row>
    <row r="38" spans="1:10" x14ac:dyDescent="0.2">
      <c r="A38" s="18" t="s">
        <v>55</v>
      </c>
      <c r="B38" s="19"/>
      <c r="C38" s="19"/>
      <c r="D38" s="19"/>
      <c r="E38" s="19"/>
      <c r="F38" s="19"/>
      <c r="G38" s="19"/>
      <c r="H38" s="19"/>
      <c r="I38" s="19"/>
      <c r="J38" s="20" t="s">
        <v>56</v>
      </c>
    </row>
    <row r="39" spans="1:10" x14ac:dyDescent="0.2">
      <c r="A39" s="21" t="s">
        <v>43</v>
      </c>
      <c r="E39" s="22">
        <v>7.0000000000000007E-2</v>
      </c>
      <c r="F39" s="22">
        <v>7.0000000000000007E-2</v>
      </c>
      <c r="G39" s="22">
        <v>7.0000000000000007E-2</v>
      </c>
      <c r="H39" s="22">
        <v>7.0000000000000007E-2</v>
      </c>
      <c r="I39" s="22">
        <v>7.0000000000000007E-2</v>
      </c>
    </row>
    <row r="40" spans="1:10" x14ac:dyDescent="0.2">
      <c r="A40" s="21" t="s">
        <v>44</v>
      </c>
      <c r="E40" s="22">
        <v>0.08</v>
      </c>
      <c r="F40" s="22">
        <v>0.09</v>
      </c>
      <c r="G40" s="22">
        <v>0.1</v>
      </c>
      <c r="H40" s="22">
        <v>0.11</v>
      </c>
      <c r="I40" s="22">
        <v>0.12</v>
      </c>
    </row>
    <row r="41" spans="1:10" x14ac:dyDescent="0.2">
      <c r="A41" s="21" t="s">
        <v>45</v>
      </c>
      <c r="E41" s="22">
        <v>0.1</v>
      </c>
      <c r="F41" s="22">
        <v>0.13</v>
      </c>
      <c r="G41" s="22">
        <v>0.16</v>
      </c>
      <c r="H41" s="22">
        <v>0.19</v>
      </c>
      <c r="I41" s="22">
        <v>0.22</v>
      </c>
    </row>
    <row r="42" spans="1:10" x14ac:dyDescent="0.2">
      <c r="A42" s="23" t="s">
        <v>46</v>
      </c>
      <c r="B42" s="24"/>
      <c r="C42" s="24"/>
      <c r="D42" s="25">
        <f>1-IS!D13/IS!D8</f>
        <v>7.4301675977653581E-2</v>
      </c>
      <c r="E42" s="25">
        <f>CHOOSE($B$3,E39,E40,E41)</f>
        <v>0.08</v>
      </c>
      <c r="F42" s="25">
        <f>CHOOSE($B$3,F39,F40,F41)</f>
        <v>0.09</v>
      </c>
      <c r="G42" s="25">
        <f>CHOOSE($B$3,G39,G40,G41)</f>
        <v>0.1</v>
      </c>
      <c r="H42" s="25">
        <f>CHOOSE($B$3,H39,H40,H41)</f>
        <v>0.11</v>
      </c>
      <c r="I42" s="25">
        <f>CHOOSE($B$3,I39,I40,I41)</f>
        <v>0.12</v>
      </c>
    </row>
    <row r="44" spans="1:10" x14ac:dyDescent="0.2">
      <c r="A44" s="18" t="s">
        <v>57</v>
      </c>
      <c r="B44" s="19"/>
      <c r="C44" s="19"/>
      <c r="D44" s="19"/>
      <c r="E44" s="19"/>
      <c r="F44" s="19"/>
      <c r="G44" s="19"/>
      <c r="H44" s="19"/>
      <c r="I44" s="19"/>
      <c r="J44" s="19"/>
    </row>
    <row r="45" spans="1:10" x14ac:dyDescent="0.2">
      <c r="A45" s="6" t="s">
        <v>58</v>
      </c>
      <c r="D45" s="26">
        <f>IS!D17/IS!D9</f>
        <v>6.7607327027112529E-2</v>
      </c>
      <c r="E45" s="22">
        <v>7.1999999999999995E-2</v>
      </c>
      <c r="F45" s="22">
        <v>7.0000000000000007E-2</v>
      </c>
      <c r="G45" s="22">
        <v>6.8000000000000005E-2</v>
      </c>
      <c r="H45" s="22">
        <v>6.5000000000000002E-2</v>
      </c>
      <c r="I45" s="22">
        <v>6.3E-2</v>
      </c>
      <c r="J45" s="2" t="s">
        <v>59</v>
      </c>
    </row>
    <row r="46" spans="1:10" x14ac:dyDescent="0.2">
      <c r="A46" s="6" t="s">
        <v>60</v>
      </c>
      <c r="D46" s="26">
        <f>IS!D18/IS!D9</f>
        <v>6.1522562139475045E-2</v>
      </c>
      <c r="E46" s="22">
        <v>0.06</v>
      </c>
      <c r="F46" s="22">
        <v>5.8000000000000003E-2</v>
      </c>
      <c r="G46" s="22">
        <v>5.6000000000000001E-2</v>
      </c>
      <c r="H46" s="22">
        <v>5.3999999999999999E-2</v>
      </c>
      <c r="I46" s="22">
        <v>5.1999999999999998E-2</v>
      </c>
      <c r="J46" s="2" t="s">
        <v>61</v>
      </c>
    </row>
    <row r="47" spans="1:10" x14ac:dyDescent="0.2">
      <c r="A47" s="6" t="s">
        <v>62</v>
      </c>
      <c r="D47" s="27">
        <f>IS!D19</f>
        <v>494</v>
      </c>
      <c r="E47" s="28">
        <v>0</v>
      </c>
      <c r="F47" s="28">
        <v>0</v>
      </c>
      <c r="G47" s="28">
        <v>0</v>
      </c>
      <c r="H47" s="28">
        <v>0</v>
      </c>
      <c r="I47" s="28">
        <v>0</v>
      </c>
      <c r="J47" s="2" t="s">
        <v>63</v>
      </c>
    </row>
    <row r="48" spans="1:10" x14ac:dyDescent="0.2">
      <c r="A48" s="6" t="s">
        <v>64</v>
      </c>
      <c r="B48" s="26">
        <f>CF!B8/IS!B9</f>
        <v>1.8724230932181497E-2</v>
      </c>
      <c r="C48" s="26">
        <f>CF!C8/IS!C9</f>
        <v>2.046268809499437E-2</v>
      </c>
      <c r="D48" s="26">
        <f>CF!D8/IS!D9</f>
        <v>2.9791093254031027E-2</v>
      </c>
      <c r="E48" s="22">
        <v>0.03</v>
      </c>
      <c r="F48" s="22">
        <v>0.03</v>
      </c>
      <c r="G48" s="22">
        <v>0.03</v>
      </c>
      <c r="H48" s="22">
        <v>0.03</v>
      </c>
      <c r="I48" s="22">
        <v>0.03</v>
      </c>
      <c r="J48" s="2" t="s">
        <v>65</v>
      </c>
    </row>
    <row r="49" spans="1:10" x14ac:dyDescent="0.2">
      <c r="A49" s="6" t="s">
        <v>66</v>
      </c>
      <c r="D49" s="26">
        <f>CF!D7/BS!C11</f>
        <v>0.13266869510800372</v>
      </c>
      <c r="E49" s="22">
        <v>0.13</v>
      </c>
      <c r="F49" s="22">
        <v>0.13</v>
      </c>
      <c r="G49" s="22">
        <v>0.13</v>
      </c>
      <c r="H49" s="22">
        <v>0.13</v>
      </c>
      <c r="I49" s="22">
        <v>0.13</v>
      </c>
      <c r="J49" s="2" t="s">
        <v>67</v>
      </c>
    </row>
    <row r="50" spans="1:10" x14ac:dyDescent="0.2">
      <c r="A50" s="6" t="s">
        <v>68</v>
      </c>
      <c r="B50" s="26">
        <f>-CF!B13/IS!B9</f>
        <v>9.1957467475432195E-2</v>
      </c>
      <c r="C50" s="26">
        <f>-CF!C13/IS!C9</f>
        <v>0.11610195516429522</v>
      </c>
      <c r="D50" s="26">
        <f>-CF!D13/IS!D9</f>
        <v>8.9921646788361967E-2</v>
      </c>
      <c r="E50" s="29">
        <v>0.20499999999999999</v>
      </c>
      <c r="F50" s="29">
        <v>0.16</v>
      </c>
      <c r="G50" s="29">
        <v>0.125</v>
      </c>
      <c r="H50" s="29">
        <v>0.105</v>
      </c>
      <c r="I50" s="29">
        <v>0.09</v>
      </c>
      <c r="J50" s="2" t="s">
        <v>69</v>
      </c>
    </row>
    <row r="52" spans="1:10" x14ac:dyDescent="0.2">
      <c r="A52" s="18" t="s">
        <v>70</v>
      </c>
      <c r="B52" s="19"/>
      <c r="C52" s="19"/>
      <c r="D52" s="19"/>
      <c r="E52" s="19"/>
      <c r="F52" s="19"/>
      <c r="G52" s="19"/>
      <c r="H52" s="19"/>
      <c r="I52" s="19"/>
      <c r="J52" s="19"/>
    </row>
    <row r="53" spans="1:10" x14ac:dyDescent="0.2">
      <c r="A53" s="6" t="s">
        <v>71</v>
      </c>
      <c r="C53" s="30">
        <f>BS!C7/IS!C9*365</f>
        <v>16.507011976660866</v>
      </c>
      <c r="D53" s="30">
        <f>BS!D7/IS!D9*365</f>
        <v>17.613548883756735</v>
      </c>
      <c r="E53" s="31">
        <v>17.5</v>
      </c>
      <c r="F53" s="31">
        <v>17.5</v>
      </c>
      <c r="G53" s="31">
        <v>17.5</v>
      </c>
      <c r="H53" s="31">
        <v>17.5</v>
      </c>
      <c r="I53" s="31">
        <v>17.5</v>
      </c>
      <c r="J53" s="2" t="s">
        <v>72</v>
      </c>
    </row>
    <row r="54" spans="1:10" x14ac:dyDescent="0.2">
      <c r="A54" s="6" t="s">
        <v>73</v>
      </c>
      <c r="C54" s="30">
        <f>BS!C8/IS!C14*365</f>
        <v>54.663571784646059</v>
      </c>
      <c r="D54" s="30">
        <f>BS!D8/IS!D14*365</f>
        <v>58.187385023091871</v>
      </c>
      <c r="E54" s="31">
        <v>58</v>
      </c>
      <c r="F54" s="31">
        <v>58</v>
      </c>
      <c r="G54" s="31">
        <v>58</v>
      </c>
      <c r="H54" s="31">
        <v>58</v>
      </c>
      <c r="I54" s="31">
        <v>58</v>
      </c>
      <c r="J54" s="2" t="s">
        <v>72</v>
      </c>
    </row>
    <row r="55" spans="1:10" x14ac:dyDescent="0.2">
      <c r="A55" s="6" t="s">
        <v>74</v>
      </c>
      <c r="C55" s="26">
        <f>BS!C9/IS!C9</f>
        <v>5.4887910738048933E-2</v>
      </c>
      <c r="D55" s="26">
        <f>BS!D9/IS!D9</f>
        <v>8.030413278918451E-2</v>
      </c>
      <c r="E55" s="22">
        <v>0.08</v>
      </c>
      <c r="F55" s="22">
        <v>0.08</v>
      </c>
      <c r="G55" s="22">
        <v>0.08</v>
      </c>
      <c r="H55" s="22">
        <v>0.08</v>
      </c>
      <c r="I55" s="22">
        <v>0.08</v>
      </c>
    </row>
    <row r="56" spans="1:10" x14ac:dyDescent="0.2">
      <c r="A56" s="6" t="s">
        <v>75</v>
      </c>
      <c r="C56" s="30">
        <f>BS!C16/IS!C14*365</f>
        <v>56.742397806580264</v>
      </c>
      <c r="D56" s="30">
        <f>BS!D16/IS!D14*365</f>
        <v>62.784338697850337</v>
      </c>
      <c r="E56" s="31">
        <v>62.5</v>
      </c>
      <c r="F56" s="31">
        <v>62.5</v>
      </c>
      <c r="G56" s="31">
        <v>62.5</v>
      </c>
      <c r="H56" s="31">
        <v>62.5</v>
      </c>
      <c r="I56" s="31">
        <v>62.5</v>
      </c>
      <c r="J56" s="2" t="s">
        <v>72</v>
      </c>
    </row>
    <row r="57" spans="1:10" x14ac:dyDescent="0.2">
      <c r="A57" s="6" t="s">
        <v>76</v>
      </c>
      <c r="C57" s="26">
        <f>BS!C17/IS!C9</f>
        <v>0.10976558501381922</v>
      </c>
      <c r="D57" s="26">
        <f>BS!D17/IS!D9</f>
        <v>0.14003395657354972</v>
      </c>
      <c r="E57" s="22">
        <v>0.14000000000000001</v>
      </c>
      <c r="F57" s="22">
        <v>0.14000000000000001</v>
      </c>
      <c r="G57" s="22">
        <v>0.14000000000000001</v>
      </c>
      <c r="H57" s="22">
        <v>0.14000000000000001</v>
      </c>
      <c r="I57" s="22">
        <v>0.14000000000000001</v>
      </c>
    </row>
    <row r="58" spans="1:10" x14ac:dyDescent="0.2">
      <c r="A58" s="6" t="s">
        <v>77</v>
      </c>
      <c r="C58" s="26">
        <f>BS!C18/IS!C9</f>
        <v>6.6383457876957722E-2</v>
      </c>
      <c r="D58" s="26">
        <f>BS!D18/IS!D9</f>
        <v>7.4398641737058013E-2</v>
      </c>
      <c r="E58" s="22">
        <v>7.3999999999999996E-2</v>
      </c>
      <c r="F58" s="22">
        <v>7.3999999999999996E-2</v>
      </c>
      <c r="G58" s="22">
        <v>7.3999999999999996E-2</v>
      </c>
      <c r="H58" s="22">
        <v>7.3999999999999996E-2</v>
      </c>
      <c r="I58" s="22">
        <v>7.3999999999999996E-2</v>
      </c>
    </row>
    <row r="59" spans="1:10" x14ac:dyDescent="0.2">
      <c r="A59" s="6" t="s">
        <v>78</v>
      </c>
      <c r="E59" s="28">
        <v>0</v>
      </c>
      <c r="F59" s="28">
        <v>0</v>
      </c>
      <c r="G59" s="28">
        <v>0</v>
      </c>
      <c r="H59" s="28">
        <v>0</v>
      </c>
      <c r="I59" s="28">
        <v>0</v>
      </c>
      <c r="J59" s="2" t="s">
        <v>79</v>
      </c>
    </row>
    <row r="60" spans="1:10" x14ac:dyDescent="0.2">
      <c r="A60" s="6" t="s">
        <v>80</v>
      </c>
      <c r="E60" s="28">
        <v>0</v>
      </c>
      <c r="F60" s="28">
        <v>0</v>
      </c>
      <c r="G60" s="28">
        <v>0</v>
      </c>
      <c r="H60" s="28">
        <v>0</v>
      </c>
      <c r="I60" s="28">
        <v>0</v>
      </c>
      <c r="J60" s="2" t="s">
        <v>81</v>
      </c>
    </row>
    <row r="62" spans="1:10" x14ac:dyDescent="0.2">
      <c r="A62" s="18" t="s">
        <v>82</v>
      </c>
      <c r="B62" s="19"/>
      <c r="C62" s="19"/>
      <c r="D62" s="19"/>
      <c r="E62" s="19"/>
      <c r="F62" s="19"/>
      <c r="G62" s="19"/>
      <c r="H62" s="19"/>
      <c r="I62" s="19"/>
      <c r="J62" s="19"/>
    </row>
    <row r="63" spans="1:10" x14ac:dyDescent="0.2">
      <c r="A63" s="6" t="s">
        <v>83</v>
      </c>
      <c r="D63" s="26">
        <f>IS!D23/BS!C6</f>
        <v>4.5948089598774715E-2</v>
      </c>
      <c r="E63" s="22">
        <v>0.04</v>
      </c>
      <c r="F63" s="22">
        <v>0.04</v>
      </c>
      <c r="G63" s="22">
        <v>0.04</v>
      </c>
      <c r="H63" s="22">
        <v>0.04</v>
      </c>
      <c r="I63" s="22">
        <v>0.04</v>
      </c>
      <c r="J63" s="2" t="s">
        <v>84</v>
      </c>
    </row>
    <row r="64" spans="1:10" x14ac:dyDescent="0.2">
      <c r="A64" s="6" t="s">
        <v>85</v>
      </c>
      <c r="D64" s="26">
        <f>IS!D24/AVERAGE(BS!C19,BS!D19)</f>
        <v>4.0749894508409185E-2</v>
      </c>
      <c r="E64" s="22">
        <v>4.4999999999999998E-2</v>
      </c>
      <c r="F64" s="22">
        <v>4.4999999999999998E-2</v>
      </c>
      <c r="G64" s="22">
        <v>4.4999999999999998E-2</v>
      </c>
      <c r="H64" s="22">
        <v>4.4999999999999998E-2</v>
      </c>
      <c r="I64" s="22">
        <v>4.4999999999999998E-2</v>
      </c>
      <c r="J64" s="2" t="s">
        <v>86</v>
      </c>
    </row>
    <row r="65" spans="1:10" x14ac:dyDescent="0.2">
      <c r="A65" s="6" t="s">
        <v>87</v>
      </c>
      <c r="D65" s="32">
        <f>IS!D40</f>
        <v>0.26960970064418338</v>
      </c>
      <c r="E65" s="29">
        <v>0.25</v>
      </c>
      <c r="F65" s="29">
        <v>0.25</v>
      </c>
      <c r="G65" s="29">
        <v>0.25</v>
      </c>
      <c r="H65" s="29">
        <v>0.25</v>
      </c>
      <c r="I65" s="29">
        <v>0.25</v>
      </c>
      <c r="J65" s="2" t="s">
        <v>88</v>
      </c>
    </row>
    <row r="66" spans="1:10" x14ac:dyDescent="0.2">
      <c r="A66" s="6" t="s">
        <v>89</v>
      </c>
      <c r="D66" s="27">
        <f>IS!D30</f>
        <v>61</v>
      </c>
      <c r="E66" s="28">
        <v>60</v>
      </c>
      <c r="F66" s="28">
        <v>60</v>
      </c>
      <c r="G66" s="28">
        <v>60</v>
      </c>
      <c r="H66" s="28">
        <v>60</v>
      </c>
      <c r="I66" s="28">
        <v>60</v>
      </c>
      <c r="J66" s="2" t="s">
        <v>90</v>
      </c>
    </row>
    <row r="67" spans="1:10" x14ac:dyDescent="0.2">
      <c r="A67" s="6" t="s">
        <v>91</v>
      </c>
      <c r="E67" s="28">
        <v>0</v>
      </c>
      <c r="F67" s="28">
        <v>0</v>
      </c>
      <c r="G67" s="28">
        <v>0</v>
      </c>
      <c r="H67" s="28">
        <v>0</v>
      </c>
      <c r="I67" s="28">
        <v>0</v>
      </c>
      <c r="J67" s="2" t="s">
        <v>92</v>
      </c>
    </row>
    <row r="69" spans="1:10" x14ac:dyDescent="0.2">
      <c r="A69" s="18" t="s">
        <v>93</v>
      </c>
      <c r="B69" s="19"/>
      <c r="C69" s="19"/>
      <c r="D69" s="19"/>
      <c r="E69" s="19"/>
      <c r="F69" s="19"/>
      <c r="G69" s="19"/>
      <c r="H69" s="19"/>
      <c r="I69" s="19"/>
      <c r="J69" s="19"/>
    </row>
    <row r="70" spans="1:10" x14ac:dyDescent="0.2">
      <c r="A70" s="6" t="s">
        <v>94</v>
      </c>
      <c r="B70" s="33">
        <v>5.2400000000000002E-2</v>
      </c>
      <c r="J70" s="2" t="s">
        <v>95</v>
      </c>
    </row>
    <row r="71" spans="1:10" x14ac:dyDescent="0.2">
      <c r="A71" s="6" t="s">
        <v>96</v>
      </c>
      <c r="B71" s="33">
        <v>4.4999999999999998E-2</v>
      </c>
      <c r="J71" s="2" t="s">
        <v>97</v>
      </c>
    </row>
    <row r="72" spans="1:10" x14ac:dyDescent="0.2">
      <c r="A72" s="6" t="s">
        <v>98</v>
      </c>
      <c r="B72" s="34">
        <v>1.85</v>
      </c>
      <c r="J72" s="2" t="s">
        <v>99</v>
      </c>
    </row>
    <row r="73" spans="1:10" x14ac:dyDescent="0.2">
      <c r="A73" s="6" t="s">
        <v>100</v>
      </c>
      <c r="B73" s="35">
        <v>5.5E-2</v>
      </c>
      <c r="J73" s="2" t="s">
        <v>101</v>
      </c>
    </row>
    <row r="74" spans="1:10" x14ac:dyDescent="0.2">
      <c r="A74" s="6" t="s">
        <v>23</v>
      </c>
      <c r="B74" s="36">
        <v>358.54</v>
      </c>
      <c r="J74" s="2" t="s">
        <v>102</v>
      </c>
    </row>
    <row r="75" spans="1:10" x14ac:dyDescent="0.2">
      <c r="A75" s="6" t="s">
        <v>103</v>
      </c>
      <c r="B75" s="28">
        <v>3950</v>
      </c>
      <c r="J75" s="2" t="s">
        <v>104</v>
      </c>
    </row>
    <row r="76" spans="1:10" x14ac:dyDescent="0.2">
      <c r="A76" s="6" t="s">
        <v>105</v>
      </c>
      <c r="B76" s="33">
        <v>0.03</v>
      </c>
      <c r="J76" s="2" t="s">
        <v>106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0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E6" sqref="E6"/>
    </sheetView>
  </sheetViews>
  <sheetFormatPr baseColWidth="10" defaultColWidth="8.6640625" defaultRowHeight="15" x14ac:dyDescent="0.2"/>
  <cols>
    <col min="1" max="1" width="48" customWidth="1"/>
    <col min="2" max="9" width="12" customWidth="1"/>
    <col min="10" max="10" width="70" customWidth="1"/>
  </cols>
  <sheetData>
    <row r="1" spans="1:10" ht="18" x14ac:dyDescent="0.2">
      <c r="A1" s="13" t="s">
        <v>107</v>
      </c>
    </row>
    <row r="2" spans="1:10" x14ac:dyDescent="0.2">
      <c r="A2" s="2" t="s">
        <v>108</v>
      </c>
    </row>
    <row r="5" spans="1:10" x14ac:dyDescent="0.2">
      <c r="A5" s="16" t="s">
        <v>31</v>
      </c>
      <c r="B5" s="17" t="s">
        <v>32</v>
      </c>
      <c r="C5" s="17" t="s">
        <v>33</v>
      </c>
      <c r="D5" s="17" t="s">
        <v>34</v>
      </c>
      <c r="E5" s="17" t="s">
        <v>35</v>
      </c>
      <c r="F5" s="17" t="s">
        <v>36</v>
      </c>
      <c r="G5" s="17" t="s">
        <v>37</v>
      </c>
      <c r="H5" s="17" t="s">
        <v>38</v>
      </c>
      <c r="I5" s="17" t="s">
        <v>39</v>
      </c>
      <c r="J5" s="16" t="s">
        <v>40</v>
      </c>
    </row>
    <row r="6" spans="1:10" x14ac:dyDescent="0.2">
      <c r="A6" s="6" t="s">
        <v>109</v>
      </c>
      <c r="B6" s="28">
        <v>82419</v>
      </c>
      <c r="C6" s="28">
        <v>77070</v>
      </c>
      <c r="D6" s="28">
        <v>69526</v>
      </c>
      <c r="E6" s="37">
        <f>D6*(1+Assumptions!E12)</f>
        <v>70916.52</v>
      </c>
      <c r="F6" s="37">
        <f>E6*(1+Assumptions!F12)</f>
        <v>74462.346000000005</v>
      </c>
      <c r="G6" s="37">
        <f>F6*(1+Assumptions!G12)</f>
        <v>78930.086760000006</v>
      </c>
      <c r="H6" s="37">
        <f>G6*(1+Assumptions!H12)</f>
        <v>82876.591098000004</v>
      </c>
      <c r="I6" s="37">
        <f>H6*(1+Assumptions!I12)</f>
        <v>86191.654741920007</v>
      </c>
      <c r="J6" s="2" t="s">
        <v>110</v>
      </c>
    </row>
    <row r="7" spans="1:10" x14ac:dyDescent="0.2">
      <c r="A7" s="6" t="s">
        <v>111</v>
      </c>
      <c r="B7" s="28">
        <v>6035</v>
      </c>
      <c r="C7" s="28">
        <v>10086</v>
      </c>
      <c r="D7" s="28">
        <v>12771</v>
      </c>
      <c r="E7" s="37">
        <f>D7*(1+Assumptions!E18)</f>
        <v>15963.75</v>
      </c>
      <c r="F7" s="37">
        <f>E7*(1+Assumptions!F18)</f>
        <v>19475.774999999998</v>
      </c>
      <c r="G7" s="37">
        <f>F7*(1+Assumptions!G18)</f>
        <v>22981.414499999995</v>
      </c>
      <c r="H7" s="37">
        <f>G7*(1+Assumptions!H18)</f>
        <v>26428.626674999992</v>
      </c>
      <c r="I7" s="37">
        <f>H7*(1+Assumptions!I18)</f>
        <v>29600.061875999992</v>
      </c>
      <c r="J7" s="2" t="s">
        <v>112</v>
      </c>
    </row>
    <row r="8" spans="1:10" x14ac:dyDescent="0.2">
      <c r="A8" s="6" t="s">
        <v>113</v>
      </c>
      <c r="B8" s="28">
        <v>8319</v>
      </c>
      <c r="C8" s="28">
        <v>10534</v>
      </c>
      <c r="D8" s="28">
        <v>12530</v>
      </c>
      <c r="E8" s="37">
        <f>D8*(1+Assumptions!E24)</f>
        <v>14785.4</v>
      </c>
      <c r="F8" s="37">
        <f>E8*(1+Assumptions!F24)</f>
        <v>17151.063999999998</v>
      </c>
      <c r="G8" s="37">
        <f>F8*(1+Assumptions!G24)</f>
        <v>19552.212960000001</v>
      </c>
      <c r="H8" s="37">
        <f>G8*(1+Assumptions!H24)</f>
        <v>21898.478515200004</v>
      </c>
      <c r="I8" s="37">
        <f>H8*(1+Assumptions!I24)</f>
        <v>24088.326366720008</v>
      </c>
      <c r="J8" s="2" t="s">
        <v>112</v>
      </c>
    </row>
    <row r="9" spans="1:10" x14ac:dyDescent="0.2">
      <c r="A9" s="5" t="s">
        <v>114</v>
      </c>
      <c r="B9" s="38">
        <f t="shared" ref="B9:I9" si="0">SUM(B6:B8)</f>
        <v>96773</v>
      </c>
      <c r="C9" s="38">
        <f t="shared" si="0"/>
        <v>97690</v>
      </c>
      <c r="D9" s="38">
        <f t="shared" si="0"/>
        <v>94827</v>
      </c>
      <c r="E9" s="38">
        <f t="shared" si="0"/>
        <v>101665.67</v>
      </c>
      <c r="F9" s="38">
        <f t="shared" si="0"/>
        <v>111089.185</v>
      </c>
      <c r="G9" s="38">
        <f t="shared" si="0"/>
        <v>121463.71422000001</v>
      </c>
      <c r="H9" s="38">
        <f t="shared" si="0"/>
        <v>131203.69628820001</v>
      </c>
      <c r="I9" s="38">
        <f t="shared" si="0"/>
        <v>139880.04298463999</v>
      </c>
      <c r="J9" s="2" t="s">
        <v>115</v>
      </c>
    </row>
    <row r="11" spans="1:10" x14ac:dyDescent="0.2">
      <c r="A11" s="39" t="s">
        <v>116</v>
      </c>
      <c r="D11" s="28">
        <v>57165</v>
      </c>
      <c r="E11" s="37">
        <f>E6*(1-Assumptions!E30)</f>
        <v>58151.546400000007</v>
      </c>
      <c r="F11" s="37">
        <f>F6*(1-Assumptions!F30)</f>
        <v>60686.811990000002</v>
      </c>
      <c r="G11" s="37">
        <f>G6*(1-Assumptions!G30)</f>
        <v>63933.370275600006</v>
      </c>
      <c r="H11" s="37">
        <f>H6*(1-Assumptions!H30)</f>
        <v>66715.655833889992</v>
      </c>
      <c r="I11" s="37">
        <f>I6*(1-Assumptions!I30)</f>
        <v>68953.323793536008</v>
      </c>
      <c r="J11" s="2" t="s">
        <v>117</v>
      </c>
    </row>
    <row r="12" spans="1:10" x14ac:dyDescent="0.2">
      <c r="A12" s="39" t="s">
        <v>118</v>
      </c>
      <c r="D12" s="28">
        <v>8969</v>
      </c>
      <c r="E12" s="37">
        <f>E7*(1-Assumptions!E36)</f>
        <v>11174.625</v>
      </c>
      <c r="F12" s="37">
        <f>F7*(1-Assumptions!F36)</f>
        <v>13633.042499999998</v>
      </c>
      <c r="G12" s="37">
        <f>G7*(1-Assumptions!G36)</f>
        <v>16086.990149999996</v>
      </c>
      <c r="H12" s="37">
        <f>H7*(1-Assumptions!H36)</f>
        <v>18632.181805874996</v>
      </c>
      <c r="I12" s="37">
        <f>I7*(1-Assumptions!I36)</f>
        <v>21016.043931959994</v>
      </c>
      <c r="J12" s="2" t="s">
        <v>119</v>
      </c>
    </row>
    <row r="13" spans="1:10" x14ac:dyDescent="0.2">
      <c r="A13" s="39" t="s">
        <v>120</v>
      </c>
      <c r="D13" s="28">
        <v>11599</v>
      </c>
      <c r="E13" s="37">
        <f>E8*(1-Assumptions!E42)</f>
        <v>13602.568000000001</v>
      </c>
      <c r="F13" s="37">
        <f>F8*(1-Assumptions!F42)</f>
        <v>15607.468239999998</v>
      </c>
      <c r="G13" s="37">
        <f>G8*(1-Assumptions!G42)</f>
        <v>17596.991664000001</v>
      </c>
      <c r="H13" s="37">
        <f>H8*(1-Assumptions!H42)</f>
        <v>19489.645878528005</v>
      </c>
      <c r="I13" s="37">
        <f>I8*(1-Assumptions!I42)</f>
        <v>21197.727202713606</v>
      </c>
      <c r="J13" s="2" t="s">
        <v>119</v>
      </c>
    </row>
    <row r="14" spans="1:10" x14ac:dyDescent="0.2">
      <c r="A14" s="6" t="s">
        <v>121</v>
      </c>
      <c r="B14" s="40">
        <v>79113</v>
      </c>
      <c r="C14" s="40">
        <v>80240</v>
      </c>
      <c r="D14" s="41">
        <f t="shared" ref="D14:I14" si="1">SUM(D11:D13)</f>
        <v>77733</v>
      </c>
      <c r="E14" s="41">
        <f t="shared" si="1"/>
        <v>82928.739400000006</v>
      </c>
      <c r="F14" s="41">
        <f t="shared" si="1"/>
        <v>89927.32273</v>
      </c>
      <c r="G14" s="41">
        <f t="shared" si="1"/>
        <v>97617.352089599997</v>
      </c>
      <c r="H14" s="41">
        <f t="shared" si="1"/>
        <v>104837.48351829298</v>
      </c>
      <c r="I14" s="41">
        <f t="shared" si="1"/>
        <v>111167.09492820961</v>
      </c>
      <c r="J14" s="2" t="s">
        <v>122</v>
      </c>
    </row>
    <row r="15" spans="1:10" x14ac:dyDescent="0.2">
      <c r="A15" s="5" t="s">
        <v>123</v>
      </c>
      <c r="B15" s="42">
        <f t="shared" ref="B15:I15" si="2">B9-B14</f>
        <v>17660</v>
      </c>
      <c r="C15" s="42">
        <f t="shared" si="2"/>
        <v>17450</v>
      </c>
      <c r="D15" s="42">
        <f t="shared" si="2"/>
        <v>17094</v>
      </c>
      <c r="E15" s="42">
        <f t="shared" si="2"/>
        <v>18736.930599999992</v>
      </c>
      <c r="F15" s="42">
        <f t="shared" si="2"/>
        <v>21161.862269999998</v>
      </c>
      <c r="G15" s="42">
        <f t="shared" si="2"/>
        <v>23846.362130400012</v>
      </c>
      <c r="H15" s="42">
        <f t="shared" si="2"/>
        <v>26366.212769907026</v>
      </c>
      <c r="I15" s="42">
        <f t="shared" si="2"/>
        <v>28712.948056430381</v>
      </c>
    </row>
    <row r="17" spans="1:10" x14ac:dyDescent="0.2">
      <c r="A17" s="39" t="s">
        <v>124</v>
      </c>
      <c r="D17" s="28">
        <v>6411</v>
      </c>
      <c r="E17" s="37">
        <f>E9*Assumptions!E45</f>
        <v>7319.9282399999993</v>
      </c>
      <c r="F17" s="37">
        <f>F9*Assumptions!F45</f>
        <v>7776.2429500000007</v>
      </c>
      <c r="G17" s="37">
        <f>G9*Assumptions!G45</f>
        <v>8259.5325669600006</v>
      </c>
      <c r="H17" s="37">
        <f>H9*Assumptions!H45</f>
        <v>8528.2402587330016</v>
      </c>
      <c r="I17" s="37">
        <f>I9*Assumptions!I45</f>
        <v>8812.4427080323203</v>
      </c>
      <c r="J17" s="2" t="s">
        <v>119</v>
      </c>
    </row>
    <row r="18" spans="1:10" x14ac:dyDescent="0.2">
      <c r="A18" s="39" t="s">
        <v>125</v>
      </c>
      <c r="D18" s="28">
        <v>5834</v>
      </c>
      <c r="E18" s="37">
        <f>E9*Assumptions!E46</f>
        <v>6099.9402</v>
      </c>
      <c r="F18" s="37">
        <f>F9*Assumptions!F46</f>
        <v>6443.1727300000002</v>
      </c>
      <c r="G18" s="37">
        <f>G9*Assumptions!G46</f>
        <v>6801.9679963200006</v>
      </c>
      <c r="H18" s="37">
        <f>H9*Assumptions!H46</f>
        <v>7084.9995995628005</v>
      </c>
      <c r="I18" s="37">
        <f>I9*Assumptions!I46</f>
        <v>7273.7622352012795</v>
      </c>
      <c r="J18" s="2" t="s">
        <v>119</v>
      </c>
    </row>
    <row r="19" spans="1:10" x14ac:dyDescent="0.2">
      <c r="A19" s="39" t="s">
        <v>126</v>
      </c>
      <c r="D19" s="28">
        <v>494</v>
      </c>
      <c r="E19" s="27">
        <f>Assumptions!E47</f>
        <v>0</v>
      </c>
      <c r="F19" s="27">
        <f>Assumptions!F47</f>
        <v>0</v>
      </c>
      <c r="G19" s="27">
        <f>Assumptions!G47</f>
        <v>0</v>
      </c>
      <c r="H19" s="27">
        <f>Assumptions!H47</f>
        <v>0</v>
      </c>
      <c r="I19" s="27">
        <f>Assumptions!I47</f>
        <v>0</v>
      </c>
      <c r="J19" s="2" t="s">
        <v>119</v>
      </c>
    </row>
    <row r="20" spans="1:10" x14ac:dyDescent="0.2">
      <c r="A20" s="6" t="s">
        <v>127</v>
      </c>
      <c r="B20" s="40">
        <v>8769</v>
      </c>
      <c r="C20" s="40">
        <v>10374</v>
      </c>
      <c r="D20" s="41">
        <f t="shared" ref="D20:I20" si="3">SUM(D17:D19)</f>
        <v>12739</v>
      </c>
      <c r="E20" s="41">
        <f t="shared" si="3"/>
        <v>13419.868439999998</v>
      </c>
      <c r="F20" s="41">
        <f t="shared" si="3"/>
        <v>14219.415680000002</v>
      </c>
      <c r="G20" s="41">
        <f t="shared" si="3"/>
        <v>15061.500563280002</v>
      </c>
      <c r="H20" s="41">
        <f t="shared" si="3"/>
        <v>15613.239858295801</v>
      </c>
      <c r="I20" s="41">
        <f t="shared" si="3"/>
        <v>16086.204943233599</v>
      </c>
      <c r="J20" s="2" t="s">
        <v>128</v>
      </c>
    </row>
    <row r="21" spans="1:10" x14ac:dyDescent="0.2">
      <c r="A21" s="5" t="s">
        <v>129</v>
      </c>
      <c r="B21" s="42">
        <f t="shared" ref="B21:I21" si="4">B15-B20</f>
        <v>8891</v>
      </c>
      <c r="C21" s="42">
        <f t="shared" si="4"/>
        <v>7076</v>
      </c>
      <c r="D21" s="42">
        <f t="shared" si="4"/>
        <v>4355</v>
      </c>
      <c r="E21" s="42">
        <f t="shared" si="4"/>
        <v>5317.062159999994</v>
      </c>
      <c r="F21" s="42">
        <f t="shared" si="4"/>
        <v>6942.4465899999959</v>
      </c>
      <c r="G21" s="42">
        <f t="shared" si="4"/>
        <v>8784.8615671200096</v>
      </c>
      <c r="H21" s="42">
        <f t="shared" si="4"/>
        <v>10752.972911611225</v>
      </c>
      <c r="I21" s="42">
        <f t="shared" si="4"/>
        <v>12626.743113196782</v>
      </c>
      <c r="J21" s="2" t="s">
        <v>130</v>
      </c>
    </row>
    <row r="23" spans="1:10" x14ac:dyDescent="0.2">
      <c r="A23" s="39" t="s">
        <v>131</v>
      </c>
      <c r="D23" s="28">
        <v>1680</v>
      </c>
      <c r="E23" s="37">
        <f>Assumptions!E63*BS!D6</f>
        <v>1762.3600000000001</v>
      </c>
      <c r="F23" s="37">
        <f>Assumptions!F63*BS!E6</f>
        <v>1538.5712731013698</v>
      </c>
      <c r="G23" s="37">
        <f>Assumptions!G63*BS!F6</f>
        <v>1575.2142692566026</v>
      </c>
      <c r="H23" s="37">
        <f>Assumptions!H63*BS!G6</f>
        <v>1836.7830752801119</v>
      </c>
      <c r="I23" s="37">
        <f>Assumptions!I63*BS!H6</f>
        <v>2259.7915000300359</v>
      </c>
      <c r="J23" s="2" t="s">
        <v>132</v>
      </c>
    </row>
    <row r="24" spans="1:10" x14ac:dyDescent="0.2">
      <c r="A24" s="39" t="s">
        <v>133</v>
      </c>
      <c r="B24" s="28">
        <v>156</v>
      </c>
      <c r="C24" s="28">
        <v>350</v>
      </c>
      <c r="D24" s="28">
        <v>338</v>
      </c>
      <c r="E24" s="37">
        <f>Assumptions!E64*AVERAGE(BS!D19,BS!E19)</f>
        <v>376.91999999999996</v>
      </c>
      <c r="F24" s="37">
        <f>Assumptions!F64*AVERAGE(BS!E19,BS!F19)</f>
        <v>376.91999999999996</v>
      </c>
      <c r="G24" s="37">
        <f>Assumptions!G64*AVERAGE(BS!F19,BS!G19)</f>
        <v>376.91999999999996</v>
      </c>
      <c r="H24" s="37">
        <f>Assumptions!H64*AVERAGE(BS!G19,BS!H19)</f>
        <v>376.91999999999996</v>
      </c>
      <c r="I24" s="37">
        <f>Assumptions!I64*AVERAGE(BS!H19,BS!I19)</f>
        <v>376.91999999999996</v>
      </c>
      <c r="J24" s="2" t="s">
        <v>134</v>
      </c>
    </row>
    <row r="25" spans="1:10" x14ac:dyDescent="0.2">
      <c r="A25" s="39" t="s">
        <v>135</v>
      </c>
      <c r="D25" s="28">
        <v>-419</v>
      </c>
      <c r="E25" s="28">
        <v>0</v>
      </c>
      <c r="F25" s="28">
        <v>0</v>
      </c>
      <c r="G25" s="28">
        <v>0</v>
      </c>
      <c r="H25" s="28">
        <v>0</v>
      </c>
      <c r="I25" s="28">
        <v>0</v>
      </c>
      <c r="J25" s="2" t="s">
        <v>136</v>
      </c>
    </row>
    <row r="26" spans="1:10" x14ac:dyDescent="0.2">
      <c r="A26" s="39" t="s">
        <v>137</v>
      </c>
      <c r="B26" s="28">
        <v>1261</v>
      </c>
      <c r="C26" s="28">
        <v>2202</v>
      </c>
      <c r="J26" s="2" t="s">
        <v>138</v>
      </c>
    </row>
    <row r="27" spans="1:10" x14ac:dyDescent="0.2">
      <c r="A27" s="5" t="s">
        <v>139</v>
      </c>
      <c r="B27" s="38">
        <f t="shared" ref="B27:I27" si="5">B21+B23-B24+B25+B26</f>
        <v>9996</v>
      </c>
      <c r="C27" s="38">
        <f t="shared" si="5"/>
        <v>8928</v>
      </c>
      <c r="D27" s="38">
        <f t="shared" si="5"/>
        <v>5278</v>
      </c>
      <c r="E27" s="38">
        <f t="shared" si="5"/>
        <v>6702.5021599999945</v>
      </c>
      <c r="F27" s="38">
        <f t="shared" si="5"/>
        <v>8104.0978631013659</v>
      </c>
      <c r="G27" s="38">
        <f t="shared" si="5"/>
        <v>9983.1558363766126</v>
      </c>
      <c r="H27" s="38">
        <f t="shared" si="5"/>
        <v>12212.835986891338</v>
      </c>
      <c r="I27" s="38">
        <f t="shared" si="5"/>
        <v>14509.614613226819</v>
      </c>
      <c r="J27" s="2" t="s">
        <v>140</v>
      </c>
    </row>
    <row r="28" spans="1:10" x14ac:dyDescent="0.2">
      <c r="A28" s="39" t="s">
        <v>141</v>
      </c>
      <c r="B28" s="28">
        <v>-5001</v>
      </c>
      <c r="C28" s="28">
        <v>1837</v>
      </c>
      <c r="D28" s="28">
        <v>1423</v>
      </c>
      <c r="E28" s="37">
        <f>E27*Assumptions!E65</f>
        <v>1675.6255399999986</v>
      </c>
      <c r="F28" s="37">
        <f>F27*Assumptions!F65</f>
        <v>2026.0244657753415</v>
      </c>
      <c r="G28" s="37">
        <f>G27*Assumptions!G65</f>
        <v>2495.7889590941531</v>
      </c>
      <c r="H28" s="37">
        <f>H27*Assumptions!H65</f>
        <v>3053.2089967228344</v>
      </c>
      <c r="I28" s="37">
        <f>I27*Assumptions!I65</f>
        <v>3627.4036533067047</v>
      </c>
      <c r="J28" s="2" t="s">
        <v>142</v>
      </c>
    </row>
    <row r="29" spans="1:10" x14ac:dyDescent="0.2">
      <c r="A29" s="5" t="s">
        <v>143</v>
      </c>
      <c r="B29" s="38">
        <f t="shared" ref="B29:I29" si="6">B27-B28</f>
        <v>14997</v>
      </c>
      <c r="C29" s="38">
        <f t="shared" si="6"/>
        <v>7091</v>
      </c>
      <c r="D29" s="38">
        <f t="shared" si="6"/>
        <v>3855</v>
      </c>
      <c r="E29" s="38">
        <f t="shared" si="6"/>
        <v>5026.8766199999955</v>
      </c>
      <c r="F29" s="38">
        <f t="shared" si="6"/>
        <v>6078.0733973260249</v>
      </c>
      <c r="G29" s="38">
        <f t="shared" si="6"/>
        <v>7487.3668772824594</v>
      </c>
      <c r="H29" s="38">
        <f t="shared" si="6"/>
        <v>9159.6269901685027</v>
      </c>
      <c r="I29" s="38">
        <f t="shared" si="6"/>
        <v>10882.210959920114</v>
      </c>
    </row>
    <row r="30" spans="1:10" x14ac:dyDescent="0.2">
      <c r="A30" s="39" t="s">
        <v>144</v>
      </c>
      <c r="D30" s="28">
        <v>61</v>
      </c>
      <c r="E30" s="27">
        <f>Assumptions!E66</f>
        <v>60</v>
      </c>
      <c r="F30" s="27">
        <f>Assumptions!F66</f>
        <v>60</v>
      </c>
      <c r="G30" s="27">
        <f>Assumptions!G66</f>
        <v>60</v>
      </c>
      <c r="H30" s="27">
        <f>Assumptions!H66</f>
        <v>60</v>
      </c>
      <c r="I30" s="27">
        <f>Assumptions!I66</f>
        <v>60</v>
      </c>
      <c r="J30" s="2" t="s">
        <v>145</v>
      </c>
    </row>
    <row r="31" spans="1:10" x14ac:dyDescent="0.2">
      <c r="A31" s="5" t="s">
        <v>146</v>
      </c>
      <c r="B31" s="38">
        <f t="shared" ref="B31:I31" si="7">B29-B30</f>
        <v>14997</v>
      </c>
      <c r="C31" s="38">
        <f t="shared" si="7"/>
        <v>7091</v>
      </c>
      <c r="D31" s="38">
        <f t="shared" si="7"/>
        <v>3794</v>
      </c>
      <c r="E31" s="38">
        <f t="shared" si="7"/>
        <v>4966.8766199999955</v>
      </c>
      <c r="F31" s="38">
        <f t="shared" si="7"/>
        <v>6018.0733973260249</v>
      </c>
      <c r="G31" s="38">
        <f t="shared" si="7"/>
        <v>7427.3668772824594</v>
      </c>
      <c r="H31" s="38">
        <f t="shared" si="7"/>
        <v>9099.6269901685027</v>
      </c>
      <c r="I31" s="38">
        <f t="shared" si="7"/>
        <v>10822.210959920114</v>
      </c>
      <c r="J31" s="2" t="s">
        <v>147</v>
      </c>
    </row>
    <row r="33" spans="1:10" x14ac:dyDescent="0.2">
      <c r="A33" s="18" t="s">
        <v>148</v>
      </c>
      <c r="B33" s="19"/>
      <c r="C33" s="19"/>
      <c r="D33" s="19"/>
      <c r="E33" s="19"/>
      <c r="F33" s="19"/>
      <c r="G33" s="19"/>
      <c r="H33" s="19"/>
      <c r="I33" s="19"/>
      <c r="J33" s="19"/>
    </row>
    <row r="34" spans="1:10" x14ac:dyDescent="0.2">
      <c r="A34" s="6" t="s">
        <v>149</v>
      </c>
      <c r="C34" s="26">
        <f t="shared" ref="C34:I34" si="8">C9/B9-1</f>
        <v>9.4757835346634955E-3</v>
      </c>
      <c r="D34" s="26">
        <f t="shared" si="8"/>
        <v>-2.9306991503736279E-2</v>
      </c>
      <c r="E34" s="26">
        <f t="shared" si="8"/>
        <v>7.2117329452582091E-2</v>
      </c>
      <c r="F34" s="26">
        <f t="shared" si="8"/>
        <v>9.2691220153273024E-2</v>
      </c>
      <c r="G34" s="26">
        <f t="shared" si="8"/>
        <v>9.3389191936190885E-2</v>
      </c>
      <c r="H34" s="26">
        <f t="shared" si="8"/>
        <v>8.0188409606498201E-2</v>
      </c>
      <c r="I34" s="26">
        <f t="shared" si="8"/>
        <v>6.6128828241101223E-2</v>
      </c>
    </row>
    <row r="35" spans="1:10" x14ac:dyDescent="0.2">
      <c r="A35" s="6" t="s">
        <v>150</v>
      </c>
      <c r="B35" s="26">
        <f t="shared" ref="B35:I35" si="9">B15/B9</f>
        <v>0.18248891736331416</v>
      </c>
      <c r="C35" s="26">
        <f t="shared" si="9"/>
        <v>0.17862626676220697</v>
      </c>
      <c r="D35" s="26">
        <f t="shared" si="9"/>
        <v>0.18026511436616155</v>
      </c>
      <c r="E35" s="26">
        <f t="shared" si="9"/>
        <v>0.18429948477199817</v>
      </c>
      <c r="F35" s="26">
        <f t="shared" si="9"/>
        <v>0.19049435163287945</v>
      </c>
      <c r="G35" s="26">
        <f t="shared" si="9"/>
        <v>0.19632498712503155</v>
      </c>
      <c r="H35" s="26">
        <f t="shared" si="9"/>
        <v>0.2009563260473349</v>
      </c>
      <c r="I35" s="26">
        <f t="shared" si="9"/>
        <v>0.20526836740808913</v>
      </c>
    </row>
    <row r="36" spans="1:10" x14ac:dyDescent="0.2">
      <c r="A36" s="6" t="s">
        <v>151</v>
      </c>
      <c r="B36" s="26">
        <f t="shared" ref="B36:I36" si="10">B21/B9</f>
        <v>9.1874799789197395E-2</v>
      </c>
      <c r="C36" s="26">
        <f t="shared" si="10"/>
        <v>7.2433207083631893E-2</v>
      </c>
      <c r="D36" s="26">
        <f t="shared" si="10"/>
        <v>4.5925738450019508E-2</v>
      </c>
      <c r="E36" s="26">
        <f t="shared" si="10"/>
        <v>5.2299484771998202E-2</v>
      </c>
      <c r="F36" s="26">
        <f t="shared" si="10"/>
        <v>6.249435163287944E-2</v>
      </c>
      <c r="G36" s="26">
        <f t="shared" si="10"/>
        <v>7.2324987125031534E-2</v>
      </c>
      <c r="H36" s="26">
        <f t="shared" si="10"/>
        <v>8.195632604733491E-2</v>
      </c>
      <c r="I36" s="26">
        <f t="shared" si="10"/>
        <v>9.026836740808912E-2</v>
      </c>
    </row>
    <row r="37" spans="1:10" x14ac:dyDescent="0.2">
      <c r="A37" s="6" t="s">
        <v>152</v>
      </c>
      <c r="B37" s="27">
        <f>CF!B7</f>
        <v>4667</v>
      </c>
      <c r="C37" s="27">
        <f>CF!C7</f>
        <v>5368</v>
      </c>
      <c r="D37" s="27">
        <f>CF!D7</f>
        <v>6148</v>
      </c>
      <c r="E37" s="27">
        <f>CF!E7</f>
        <v>6520.67</v>
      </c>
      <c r="F37" s="27">
        <f>CF!F7</f>
        <v>8382.3730055000015</v>
      </c>
      <c r="G37" s="27">
        <f>CF!G7</f>
        <v>9603.319562785</v>
      </c>
      <c r="H37" s="27">
        <f>CF!H7</f>
        <v>10328.673375697948</v>
      </c>
      <c r="I37" s="27">
        <f>CF!I7</f>
        <v>10776.876291191145</v>
      </c>
    </row>
    <row r="38" spans="1:10" x14ac:dyDescent="0.2">
      <c r="A38" s="6" t="s">
        <v>153</v>
      </c>
      <c r="B38" s="37">
        <f t="shared" ref="B38:I38" si="11">B21+B37</f>
        <v>13558</v>
      </c>
      <c r="C38" s="37">
        <f t="shared" si="11"/>
        <v>12444</v>
      </c>
      <c r="D38" s="37">
        <f t="shared" si="11"/>
        <v>10503</v>
      </c>
      <c r="E38" s="37">
        <f t="shared" si="11"/>
        <v>11837.732159999994</v>
      </c>
      <c r="F38" s="37">
        <f t="shared" si="11"/>
        <v>15324.819595499997</v>
      </c>
      <c r="G38" s="37">
        <f t="shared" si="11"/>
        <v>18388.18112990501</v>
      </c>
      <c r="H38" s="37">
        <f t="shared" si="11"/>
        <v>21081.646287309173</v>
      </c>
      <c r="I38" s="37">
        <f t="shared" si="11"/>
        <v>23403.61940438793</v>
      </c>
      <c r="J38" s="2" t="s">
        <v>154</v>
      </c>
    </row>
    <row r="39" spans="1:10" x14ac:dyDescent="0.2">
      <c r="A39" s="6" t="s">
        <v>155</v>
      </c>
      <c r="B39" s="26">
        <f t="shared" ref="B39:I39" si="12">B38/B9</f>
        <v>0.14010106124642205</v>
      </c>
      <c r="C39" s="26">
        <f t="shared" si="12"/>
        <v>0.12738253659535265</v>
      </c>
      <c r="D39" s="26">
        <f t="shared" si="12"/>
        <v>0.11075959378657978</v>
      </c>
      <c r="E39" s="26">
        <f t="shared" si="12"/>
        <v>0.11643785124319737</v>
      </c>
      <c r="F39" s="26">
        <f t="shared" si="12"/>
        <v>0.13795059884092226</v>
      </c>
      <c r="G39" s="26">
        <f t="shared" si="12"/>
        <v>0.15138826642991987</v>
      </c>
      <c r="H39" s="26">
        <f t="shared" si="12"/>
        <v>0.16067875283788924</v>
      </c>
      <c r="I39" s="26">
        <f t="shared" si="12"/>
        <v>0.16731206900585413</v>
      </c>
    </row>
    <row r="40" spans="1:10" x14ac:dyDescent="0.2">
      <c r="A40" s="6" t="s">
        <v>87</v>
      </c>
      <c r="B40" s="26">
        <f t="shared" ref="B40:I40" si="13">B28/B27</f>
        <v>-0.50030012004801916</v>
      </c>
      <c r="C40" s="26">
        <f t="shared" si="13"/>
        <v>0.20575716845878136</v>
      </c>
      <c r="D40" s="26">
        <f t="shared" si="13"/>
        <v>0.26960970064418338</v>
      </c>
      <c r="E40" s="26">
        <f t="shared" si="13"/>
        <v>0.25</v>
      </c>
      <c r="F40" s="26">
        <f t="shared" si="13"/>
        <v>0.25</v>
      </c>
      <c r="G40" s="26">
        <f t="shared" si="13"/>
        <v>0.25</v>
      </c>
      <c r="H40" s="26">
        <f t="shared" si="13"/>
        <v>0.25</v>
      </c>
      <c r="I40" s="26">
        <f t="shared" si="13"/>
        <v>0.25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8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baseColWidth="10" defaultColWidth="8.6640625" defaultRowHeight="15" x14ac:dyDescent="0.2"/>
  <cols>
    <col min="1" max="1" width="48" customWidth="1"/>
    <col min="2" max="9" width="12" customWidth="1"/>
    <col min="10" max="10" width="70" customWidth="1"/>
  </cols>
  <sheetData>
    <row r="1" spans="1:10" ht="18" x14ac:dyDescent="0.2">
      <c r="A1" s="13" t="s">
        <v>156</v>
      </c>
    </row>
    <row r="2" spans="1:10" x14ac:dyDescent="0.2">
      <c r="A2" s="2" t="s">
        <v>157</v>
      </c>
    </row>
    <row r="5" spans="1:10" x14ac:dyDescent="0.2">
      <c r="A5" s="16" t="s">
        <v>31</v>
      </c>
      <c r="B5" s="17" t="s">
        <v>32</v>
      </c>
      <c r="C5" s="17" t="s">
        <v>33</v>
      </c>
      <c r="D5" s="17" t="s">
        <v>34</v>
      </c>
      <c r="E5" s="17" t="s">
        <v>35</v>
      </c>
      <c r="F5" s="17" t="s">
        <v>36</v>
      </c>
      <c r="G5" s="17" t="s">
        <v>37</v>
      </c>
      <c r="H5" s="17" t="s">
        <v>38</v>
      </c>
      <c r="I5" s="17" t="s">
        <v>39</v>
      </c>
      <c r="J5" s="16" t="s">
        <v>40</v>
      </c>
    </row>
    <row r="6" spans="1:10" x14ac:dyDescent="0.2">
      <c r="A6" s="39" t="s">
        <v>158</v>
      </c>
      <c r="C6" s="28">
        <v>36563</v>
      </c>
      <c r="D6" s="28">
        <v>44059</v>
      </c>
      <c r="E6" s="37">
        <f>D6+CF!E19</f>
        <v>38464.281827534243</v>
      </c>
      <c r="F6" s="37">
        <f>E6+CF!F19</f>
        <v>39380.356731415064</v>
      </c>
      <c r="G6" s="37">
        <f>F6+CF!G19</f>
        <v>45919.576882002795</v>
      </c>
      <c r="H6" s="37">
        <f>G6+CF!H19</f>
        <v>56494.787500750899</v>
      </c>
      <c r="I6" s="37">
        <f>H6+CF!I19</f>
        <v>70585.749709988711</v>
      </c>
      <c r="J6" s="2" t="s">
        <v>159</v>
      </c>
    </row>
    <row r="7" spans="1:10" x14ac:dyDescent="0.2">
      <c r="A7" s="39" t="s">
        <v>160</v>
      </c>
      <c r="C7" s="28">
        <v>4418</v>
      </c>
      <c r="D7" s="28">
        <v>4576</v>
      </c>
      <c r="E7" s="37">
        <f>Assumptions!E53*IS!E9/365</f>
        <v>4874.3814383561639</v>
      </c>
      <c r="F7" s="37">
        <f>Assumptions!F53*IS!F9/365</f>
        <v>5326.1938013698627</v>
      </c>
      <c r="G7" s="37">
        <f>Assumptions!G53*IS!G9/365</f>
        <v>5823.6027365753425</v>
      </c>
      <c r="H7" s="37">
        <f>Assumptions!H53*IS!H9/365</f>
        <v>6290.5881782013703</v>
      </c>
      <c r="I7" s="37">
        <f>Assumptions!I53*IS!I9/365</f>
        <v>6706.5774033731504</v>
      </c>
      <c r="J7" s="2" t="s">
        <v>161</v>
      </c>
    </row>
    <row r="8" spans="1:10" x14ac:dyDescent="0.2">
      <c r="A8" s="39" t="s">
        <v>162</v>
      </c>
      <c r="C8" s="28">
        <v>12017</v>
      </c>
      <c r="D8" s="28">
        <v>12392</v>
      </c>
      <c r="E8" s="37">
        <f>Assumptions!E54*IS!E14/365</f>
        <v>13177.71749369863</v>
      </c>
      <c r="F8" s="37">
        <f>Assumptions!F54*IS!F14/365</f>
        <v>14289.821146136986</v>
      </c>
      <c r="G8" s="37">
        <f>Assumptions!G54*IS!G14/365</f>
        <v>15511.798414237808</v>
      </c>
      <c r="H8" s="37">
        <f>Assumptions!H54*IS!H14/365</f>
        <v>16659.10697003012</v>
      </c>
      <c r="I8" s="37">
        <f>Assumptions!I54*IS!I14/365</f>
        <v>17664.908235167553</v>
      </c>
      <c r="J8" s="2" t="s">
        <v>161</v>
      </c>
    </row>
    <row r="9" spans="1:10" x14ac:dyDescent="0.2">
      <c r="A9" s="39" t="s">
        <v>163</v>
      </c>
      <c r="C9" s="28">
        <v>5362</v>
      </c>
      <c r="D9" s="28">
        <v>7615</v>
      </c>
      <c r="E9" s="37">
        <f>Assumptions!E55*IS!E9</f>
        <v>8133.2536</v>
      </c>
      <c r="F9" s="37">
        <f>Assumptions!F55*IS!F9</f>
        <v>8887.1347999999998</v>
      </c>
      <c r="G9" s="37">
        <f>Assumptions!G55*IS!G9</f>
        <v>9717.0971376000016</v>
      </c>
      <c r="H9" s="37">
        <f>Assumptions!H55*IS!H9</f>
        <v>10496.295703056001</v>
      </c>
      <c r="I9" s="37">
        <f>Assumptions!I55*IS!I9</f>
        <v>11190.4034387712</v>
      </c>
      <c r="J9" s="2" t="s">
        <v>161</v>
      </c>
    </row>
    <row r="10" spans="1:10" x14ac:dyDescent="0.2">
      <c r="A10" s="5" t="s">
        <v>164</v>
      </c>
      <c r="C10" s="38">
        <f t="shared" ref="C10:I10" si="0">SUM(C6:C9)</f>
        <v>58360</v>
      </c>
      <c r="D10" s="38">
        <f t="shared" si="0"/>
        <v>68642</v>
      </c>
      <c r="E10" s="38">
        <f t="shared" si="0"/>
        <v>64649.634359589036</v>
      </c>
      <c r="F10" s="38">
        <f t="shared" si="0"/>
        <v>67883.506478921918</v>
      </c>
      <c r="G10" s="38">
        <f t="shared" si="0"/>
        <v>76972.075170415948</v>
      </c>
      <c r="H10" s="38">
        <f t="shared" si="0"/>
        <v>89940.778352038396</v>
      </c>
      <c r="I10" s="38">
        <f t="shared" si="0"/>
        <v>106147.63878730062</v>
      </c>
    </row>
    <row r="11" spans="1:10" x14ac:dyDescent="0.2">
      <c r="A11" s="39" t="s">
        <v>165</v>
      </c>
      <c r="C11" s="28">
        <v>46341</v>
      </c>
      <c r="D11" s="28">
        <v>50159</v>
      </c>
      <c r="E11" s="37">
        <f>D11-CF!E13-CF!E7</f>
        <v>64479.792350000003</v>
      </c>
      <c r="F11" s="37">
        <f>E11-CF!F13-CF!F7</f>
        <v>73871.688944499998</v>
      </c>
      <c r="G11" s="37">
        <f>F11-CF!G13-CF!G7</f>
        <v>79451.333659214986</v>
      </c>
      <c r="H11" s="37">
        <f>G11-CF!H13-CF!H7</f>
        <v>82899.048393778037</v>
      </c>
      <c r="I11" s="37">
        <f>H11-CF!I13-CF!I7</f>
        <v>84711.375971204485</v>
      </c>
      <c r="J11" s="2" t="s">
        <v>166</v>
      </c>
    </row>
    <row r="12" spans="1:10" x14ac:dyDescent="0.2">
      <c r="A12" s="39" t="s">
        <v>167</v>
      </c>
      <c r="C12" s="28">
        <v>1076</v>
      </c>
      <c r="D12" s="28">
        <v>1008</v>
      </c>
      <c r="E12" s="37">
        <f>D12</f>
        <v>1008</v>
      </c>
      <c r="F12" s="37">
        <f>E12</f>
        <v>1008</v>
      </c>
      <c r="G12" s="37">
        <f>F12</f>
        <v>1008</v>
      </c>
      <c r="H12" s="37">
        <f>G12</f>
        <v>1008</v>
      </c>
      <c r="I12" s="37">
        <f>H12</f>
        <v>1008</v>
      </c>
      <c r="J12" s="2" t="s">
        <v>168</v>
      </c>
    </row>
    <row r="13" spans="1:10" x14ac:dyDescent="0.2">
      <c r="A13" s="39" t="s">
        <v>169</v>
      </c>
      <c r="C13" s="28">
        <v>16293</v>
      </c>
      <c r="D13" s="28">
        <v>17997</v>
      </c>
      <c r="E13" s="37">
        <f>D13+Assumptions!E60</f>
        <v>17997</v>
      </c>
      <c r="F13" s="37">
        <f>E13+Assumptions!F60</f>
        <v>17997</v>
      </c>
      <c r="G13" s="37">
        <f>F13+Assumptions!G60</f>
        <v>17997</v>
      </c>
      <c r="H13" s="37">
        <f>G13+Assumptions!H60</f>
        <v>17997</v>
      </c>
      <c r="I13" s="37">
        <f>H13+Assumptions!I60</f>
        <v>17997</v>
      </c>
      <c r="J13" s="2" t="s">
        <v>170</v>
      </c>
    </row>
    <row r="14" spans="1:10" x14ac:dyDescent="0.2">
      <c r="A14" s="5" t="s">
        <v>171</v>
      </c>
      <c r="C14" s="38">
        <f t="shared" ref="C14:I14" si="1">C10+C11+C12+C13</f>
        <v>122070</v>
      </c>
      <c r="D14" s="38">
        <f t="shared" si="1"/>
        <v>137806</v>
      </c>
      <c r="E14" s="38">
        <f t="shared" si="1"/>
        <v>148134.42670958902</v>
      </c>
      <c r="F14" s="38">
        <f t="shared" si="1"/>
        <v>160760.19542342192</v>
      </c>
      <c r="G14" s="38">
        <f t="shared" si="1"/>
        <v>175428.40882963093</v>
      </c>
      <c r="H14" s="38">
        <f t="shared" si="1"/>
        <v>191844.82674581645</v>
      </c>
      <c r="I14" s="38">
        <f t="shared" si="1"/>
        <v>209864.0147585051</v>
      </c>
      <c r="J14" s="2" t="s">
        <v>172</v>
      </c>
    </row>
    <row r="16" spans="1:10" x14ac:dyDescent="0.2">
      <c r="A16" s="39" t="s">
        <v>173</v>
      </c>
      <c r="C16" s="28">
        <v>12474</v>
      </c>
      <c r="D16" s="28">
        <v>13371</v>
      </c>
      <c r="E16" s="37">
        <f>Assumptions!E56*IS!E14/365</f>
        <v>14200.126609589042</v>
      </c>
      <c r="F16" s="37">
        <f>Assumptions!F56*IS!F14/365</f>
        <v>15398.514166095891</v>
      </c>
      <c r="G16" s="37">
        <f>Assumptions!G56*IS!G14/365</f>
        <v>16715.300015342465</v>
      </c>
      <c r="H16" s="37">
        <f>Assumptions!H56*IS!H14/365</f>
        <v>17951.623890118659</v>
      </c>
      <c r="I16" s="37">
        <f>Assumptions!I56*IS!I14/365</f>
        <v>19035.461460309867</v>
      </c>
      <c r="J16" s="2" t="s">
        <v>161</v>
      </c>
    </row>
    <row r="17" spans="1:10" x14ac:dyDescent="0.2">
      <c r="A17" s="39" t="s">
        <v>174</v>
      </c>
      <c r="C17" s="28">
        <v>10723</v>
      </c>
      <c r="D17" s="28">
        <v>13279</v>
      </c>
      <c r="E17" s="37">
        <f>Assumptions!E57*IS!E9</f>
        <v>14233.193800000001</v>
      </c>
      <c r="F17" s="37">
        <f>Assumptions!F57*IS!F9</f>
        <v>15552.485900000001</v>
      </c>
      <c r="G17" s="37">
        <f>Assumptions!G57*IS!G9</f>
        <v>17004.919990800005</v>
      </c>
      <c r="H17" s="37">
        <f>Assumptions!H57*IS!H9</f>
        <v>18368.517480348004</v>
      </c>
      <c r="I17" s="37">
        <f>Assumptions!I57*IS!I9</f>
        <v>19583.206017849599</v>
      </c>
      <c r="J17" s="2" t="s">
        <v>161</v>
      </c>
    </row>
    <row r="18" spans="1:10" x14ac:dyDescent="0.2">
      <c r="A18" s="39" t="s">
        <v>175</v>
      </c>
      <c r="C18" s="28">
        <v>6485</v>
      </c>
      <c r="D18" s="28">
        <v>7055</v>
      </c>
      <c r="E18" s="37">
        <f>Assumptions!E58*IS!E9</f>
        <v>7523.2595799999999</v>
      </c>
      <c r="F18" s="37">
        <f>Assumptions!F58*IS!F9</f>
        <v>8220.5996899999991</v>
      </c>
      <c r="G18" s="37">
        <f>Assumptions!G58*IS!G9</f>
        <v>8988.3148522800002</v>
      </c>
      <c r="H18" s="37">
        <f>Assumptions!H58*IS!H9</f>
        <v>9709.0735253267994</v>
      </c>
      <c r="I18" s="37">
        <f>Assumptions!I58*IS!I9</f>
        <v>10351.123180863358</v>
      </c>
      <c r="J18" s="2" t="s">
        <v>176</v>
      </c>
    </row>
    <row r="19" spans="1:10" x14ac:dyDescent="0.2">
      <c r="A19" s="39" t="s">
        <v>177</v>
      </c>
      <c r="C19" s="28">
        <v>8213</v>
      </c>
      <c r="D19" s="28">
        <v>8376</v>
      </c>
      <c r="E19" s="37">
        <f>D19+Assumptions!E67</f>
        <v>8376</v>
      </c>
      <c r="F19" s="37">
        <f>E19+Assumptions!F67</f>
        <v>8376</v>
      </c>
      <c r="G19" s="37">
        <f>F19+Assumptions!G67</f>
        <v>8376</v>
      </c>
      <c r="H19" s="37">
        <f>G19+Assumptions!H67</f>
        <v>8376</v>
      </c>
      <c r="I19" s="37">
        <f>H19+Assumptions!I67</f>
        <v>8376</v>
      </c>
      <c r="J19" s="2" t="s">
        <v>178</v>
      </c>
    </row>
    <row r="20" spans="1:10" x14ac:dyDescent="0.2">
      <c r="A20" s="39" t="s">
        <v>179</v>
      </c>
      <c r="C20" s="28">
        <v>10495</v>
      </c>
      <c r="D20" s="28">
        <v>12860</v>
      </c>
      <c r="E20" s="37">
        <f>D20+Assumptions!E59</f>
        <v>12860</v>
      </c>
      <c r="F20" s="37">
        <f>E20+Assumptions!F59</f>
        <v>12860</v>
      </c>
      <c r="G20" s="37">
        <f>F20+Assumptions!G59</f>
        <v>12860</v>
      </c>
      <c r="H20" s="37">
        <f>G20+Assumptions!H59</f>
        <v>12860</v>
      </c>
      <c r="I20" s="37">
        <f>H20+Assumptions!I59</f>
        <v>12860</v>
      </c>
      <c r="J20" s="2" t="s">
        <v>161</v>
      </c>
    </row>
    <row r="21" spans="1:10" x14ac:dyDescent="0.2">
      <c r="A21" s="5" t="s">
        <v>180</v>
      </c>
      <c r="C21" s="38">
        <f t="shared" ref="C21:I21" si="2">SUM(C16:C20)</f>
        <v>48390</v>
      </c>
      <c r="D21" s="38">
        <f t="shared" si="2"/>
        <v>54941</v>
      </c>
      <c r="E21" s="38">
        <f t="shared" si="2"/>
        <v>57192.579989589045</v>
      </c>
      <c r="F21" s="38">
        <f t="shared" si="2"/>
        <v>60407.599756095893</v>
      </c>
      <c r="G21" s="38">
        <f t="shared" si="2"/>
        <v>63944.53485842247</v>
      </c>
      <c r="H21" s="38">
        <f t="shared" si="2"/>
        <v>67265.21489579347</v>
      </c>
      <c r="I21" s="38">
        <f t="shared" si="2"/>
        <v>70205.790659022823</v>
      </c>
      <c r="J21" s="2" t="s">
        <v>181</v>
      </c>
    </row>
    <row r="23" spans="1:10" x14ac:dyDescent="0.2">
      <c r="A23" s="39" t="s">
        <v>182</v>
      </c>
      <c r="C23" s="28">
        <v>72913</v>
      </c>
      <c r="D23" s="28">
        <v>82137</v>
      </c>
      <c r="E23" s="37">
        <f>D23+IS!E31+CF!E8</f>
        <v>90153.846720000001</v>
      </c>
      <c r="F23" s="37">
        <f>E23+IS!F31+CF!F8</f>
        <v>99504.595667326023</v>
      </c>
      <c r="G23" s="37">
        <f>F23+IS!G31+CF!G8</f>
        <v>110575.87397120848</v>
      </c>
      <c r="H23" s="37">
        <f>G23+IS!H31+CF!H8</f>
        <v>123611.61185002298</v>
      </c>
      <c r="I23" s="37">
        <f>H23+IS!I31+CF!I8</f>
        <v>138630.22409948229</v>
      </c>
      <c r="J23" s="2" t="s">
        <v>183</v>
      </c>
    </row>
    <row r="24" spans="1:10" x14ac:dyDescent="0.2">
      <c r="A24" s="39" t="s">
        <v>184</v>
      </c>
      <c r="C24" s="28">
        <v>767</v>
      </c>
      <c r="D24" s="28">
        <v>728</v>
      </c>
      <c r="E24" s="37">
        <f>D24+IS!E30</f>
        <v>788</v>
      </c>
      <c r="F24" s="37">
        <f>E24+IS!F30</f>
        <v>848</v>
      </c>
      <c r="G24" s="37">
        <f>F24+IS!G30</f>
        <v>908</v>
      </c>
      <c r="H24" s="37">
        <f>G24+IS!H30</f>
        <v>968</v>
      </c>
      <c r="I24" s="37">
        <f>H24+IS!I30</f>
        <v>1028</v>
      </c>
      <c r="J24" s="2" t="s">
        <v>185</v>
      </c>
    </row>
    <row r="25" spans="1:10" x14ac:dyDescent="0.2">
      <c r="A25" s="5" t="s">
        <v>186</v>
      </c>
      <c r="C25" s="38">
        <f t="shared" ref="C25:I25" si="3">C23+C24</f>
        <v>73680</v>
      </c>
      <c r="D25" s="38">
        <f t="shared" si="3"/>
        <v>82865</v>
      </c>
      <c r="E25" s="38">
        <f t="shared" si="3"/>
        <v>90941.846720000001</v>
      </c>
      <c r="F25" s="38">
        <f t="shared" si="3"/>
        <v>100352.59566732602</v>
      </c>
      <c r="G25" s="38">
        <f t="shared" si="3"/>
        <v>111483.87397120848</v>
      </c>
      <c r="H25" s="38">
        <f t="shared" si="3"/>
        <v>124579.61185002298</v>
      </c>
      <c r="I25" s="38">
        <f t="shared" si="3"/>
        <v>139658.22409948229</v>
      </c>
    </row>
    <row r="26" spans="1:10" x14ac:dyDescent="0.2">
      <c r="A26" s="5" t="s">
        <v>187</v>
      </c>
      <c r="C26" s="38">
        <f t="shared" ref="C26:I26" si="4">C21+C25</f>
        <v>122070</v>
      </c>
      <c r="D26" s="38">
        <f t="shared" si="4"/>
        <v>137806</v>
      </c>
      <c r="E26" s="38">
        <f t="shared" si="4"/>
        <v>148134.42670958905</v>
      </c>
      <c r="F26" s="38">
        <f t="shared" si="4"/>
        <v>160760.19542342192</v>
      </c>
      <c r="G26" s="38">
        <f t="shared" si="4"/>
        <v>175428.40882963093</v>
      </c>
      <c r="H26" s="38">
        <f t="shared" si="4"/>
        <v>191844.82674581645</v>
      </c>
      <c r="I26" s="38">
        <f t="shared" si="4"/>
        <v>209864.0147585051</v>
      </c>
    </row>
    <row r="28" spans="1:10" x14ac:dyDescent="0.2">
      <c r="A28" s="43" t="s">
        <v>188</v>
      </c>
      <c r="C28" s="44">
        <f t="shared" ref="C28:I28" si="5">ROUND(C14-C26,3)</f>
        <v>0</v>
      </c>
      <c r="D28" s="44">
        <f t="shared" si="5"/>
        <v>0</v>
      </c>
      <c r="E28" s="44">
        <f t="shared" si="5"/>
        <v>0</v>
      </c>
      <c r="F28" s="44">
        <f t="shared" si="5"/>
        <v>0</v>
      </c>
      <c r="G28" s="44">
        <f t="shared" si="5"/>
        <v>0</v>
      </c>
      <c r="H28" s="44">
        <f t="shared" si="5"/>
        <v>0</v>
      </c>
      <c r="I28" s="44">
        <f t="shared" si="5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1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baseColWidth="10" defaultColWidth="8.6640625" defaultRowHeight="15" x14ac:dyDescent="0.2"/>
  <cols>
    <col min="1" max="1" width="48" customWidth="1"/>
    <col min="2" max="9" width="12" customWidth="1"/>
    <col min="10" max="10" width="70" customWidth="1"/>
  </cols>
  <sheetData>
    <row r="1" spans="1:10" ht="18" x14ac:dyDescent="0.2">
      <c r="A1" s="13" t="s">
        <v>189</v>
      </c>
    </row>
    <row r="2" spans="1:10" x14ac:dyDescent="0.2">
      <c r="A2" s="2" t="s">
        <v>190</v>
      </c>
    </row>
    <row r="5" spans="1:10" x14ac:dyDescent="0.2">
      <c r="A5" s="16" t="s">
        <v>31</v>
      </c>
      <c r="B5" s="17" t="s">
        <v>32</v>
      </c>
      <c r="C5" s="17" t="s">
        <v>33</v>
      </c>
      <c r="D5" s="17" t="s">
        <v>34</v>
      </c>
      <c r="E5" s="17" t="s">
        <v>35</v>
      </c>
      <c r="F5" s="17" t="s">
        <v>36</v>
      </c>
      <c r="G5" s="17" t="s">
        <v>37</v>
      </c>
      <c r="H5" s="17" t="s">
        <v>38</v>
      </c>
      <c r="I5" s="17" t="s">
        <v>39</v>
      </c>
      <c r="J5" s="16" t="s">
        <v>40</v>
      </c>
    </row>
    <row r="6" spans="1:10" x14ac:dyDescent="0.2">
      <c r="A6" s="39" t="s">
        <v>191</v>
      </c>
      <c r="D6" s="27">
        <f>IS!D29</f>
        <v>3855</v>
      </c>
      <c r="E6" s="27">
        <f>IS!E29</f>
        <v>5026.8766199999955</v>
      </c>
      <c r="F6" s="27">
        <f>IS!F29</f>
        <v>6078.0733973260249</v>
      </c>
      <c r="G6" s="27">
        <f>IS!G29</f>
        <v>7487.3668772824594</v>
      </c>
      <c r="H6" s="27">
        <f>IS!H29</f>
        <v>9159.6269901685027</v>
      </c>
      <c r="I6" s="27">
        <f>IS!I29</f>
        <v>10882.210959920114</v>
      </c>
      <c r="J6" s="2" t="s">
        <v>192</v>
      </c>
    </row>
    <row r="7" spans="1:10" x14ac:dyDescent="0.2">
      <c r="A7" s="39" t="s">
        <v>152</v>
      </c>
      <c r="B7" s="28">
        <v>4667</v>
      </c>
      <c r="C7" s="28">
        <v>5368</v>
      </c>
      <c r="D7" s="28">
        <v>6148</v>
      </c>
      <c r="E7" s="37">
        <f>Assumptions!E49*BS!D11</f>
        <v>6520.67</v>
      </c>
      <c r="F7" s="37">
        <f>Assumptions!F49*BS!E11</f>
        <v>8382.3730055000015</v>
      </c>
      <c r="G7" s="37">
        <f>Assumptions!G49*BS!F11</f>
        <v>9603.319562785</v>
      </c>
      <c r="H7" s="37">
        <f>Assumptions!H49*BS!G11</f>
        <v>10328.673375697948</v>
      </c>
      <c r="I7" s="37">
        <f>Assumptions!I49*BS!H11</f>
        <v>10776.876291191145</v>
      </c>
      <c r="J7" s="2" t="s">
        <v>193</v>
      </c>
    </row>
    <row r="8" spans="1:10" x14ac:dyDescent="0.2">
      <c r="A8" s="39" t="s">
        <v>194</v>
      </c>
      <c r="B8" s="28">
        <v>1812</v>
      </c>
      <c r="C8" s="28">
        <v>1999</v>
      </c>
      <c r="D8" s="28">
        <v>2825</v>
      </c>
      <c r="E8" s="37">
        <f>Assumptions!E48*IS!E9</f>
        <v>3049.9701</v>
      </c>
      <c r="F8" s="37">
        <f>Assumptions!F48*IS!F9</f>
        <v>3332.6755499999999</v>
      </c>
      <c r="G8" s="37">
        <f>Assumptions!G48*IS!G9</f>
        <v>3643.9114266000001</v>
      </c>
      <c r="H8" s="37">
        <f>Assumptions!H48*IS!H9</f>
        <v>3936.1108886460001</v>
      </c>
      <c r="I8" s="37">
        <f>Assumptions!I48*IS!I9</f>
        <v>4196.4012895391998</v>
      </c>
      <c r="J8" s="2" t="s">
        <v>195</v>
      </c>
    </row>
    <row r="9" spans="1:10" x14ac:dyDescent="0.2">
      <c r="A9" s="39" t="s">
        <v>196</v>
      </c>
      <c r="D9" s="28">
        <v>1277</v>
      </c>
      <c r="E9" s="28">
        <v>0</v>
      </c>
      <c r="F9" s="28">
        <v>0</v>
      </c>
      <c r="G9" s="28">
        <v>0</v>
      </c>
      <c r="H9" s="28">
        <v>0</v>
      </c>
      <c r="I9" s="28">
        <v>0</v>
      </c>
      <c r="J9" s="2" t="s">
        <v>197</v>
      </c>
    </row>
    <row r="10" spans="1:10" x14ac:dyDescent="0.2">
      <c r="A10" s="39" t="s">
        <v>198</v>
      </c>
      <c r="D10" s="28">
        <v>642</v>
      </c>
      <c r="E10" s="37">
        <f>-(BS!E7-BS!D7)-(BS!E8-BS!D8)-(BS!E9-BS!D9)+(BS!E16-BS!D16)+(BS!E17-BS!D17)+(BS!E18-BS!D18)+(BS!E20-BS!D20)-(BS!E13-BS!D13)-(BS!E12-BS!D12)</f>
        <v>649.22745753424897</v>
      </c>
      <c r="F10" s="37">
        <f>-(BS!F7-BS!E7)-(BS!F8-BS!E8)-(BS!F9-BS!E9)+(BS!F16-BS!E16)+(BS!F17-BS!E17)+(BS!F18-BS!E18)+(BS!F20-BS!E20)-(BS!F13-BS!E13)-(BS!F12-BS!E12)</f>
        <v>897.22255105479326</v>
      </c>
      <c r="G10" s="37">
        <f>-(BS!G7-BS!F7)-(BS!G8-BS!F8)-(BS!G9-BS!F9)+(BS!G16-BS!F16)+(BS!G17-BS!F17)+(BS!G18-BS!F18)+(BS!G20-BS!F20)-(BS!G13-BS!F13)-(BS!G12-BS!F12)</f>
        <v>987.58656142027576</v>
      </c>
      <c r="H10" s="37">
        <f>-(BS!H7-BS!G7)-(BS!H8-BS!G8)-(BS!H9-BS!G9)+(BS!H16-BS!G16)+(BS!H17-BS!G17)+(BS!H18-BS!G18)+(BS!H20-BS!G20)-(BS!H13-BS!G13)-(BS!H12-BS!G12)</f>
        <v>927.18747449665352</v>
      </c>
      <c r="I10" s="37">
        <f>-(BS!I7-BS!H7)-(BS!I8-BS!H8)-(BS!I9-BS!H9)+(BS!I16-BS!H16)+(BS!I17-BS!H17)+(BS!I18-BS!H18)+(BS!I20-BS!H20)-(BS!I13-BS!H13)-(BS!I12-BS!H12)</f>
        <v>824.67753720494966</v>
      </c>
      <c r="J10" s="2" t="s">
        <v>199</v>
      </c>
    </row>
    <row r="11" spans="1:10" x14ac:dyDescent="0.2">
      <c r="A11" s="5" t="s">
        <v>200</v>
      </c>
      <c r="B11" s="45">
        <v>13256</v>
      </c>
      <c r="C11" s="45">
        <v>14923</v>
      </c>
      <c r="D11" s="38">
        <f t="shared" ref="D11:I11" si="0">SUM(D6:D10)</f>
        <v>14747</v>
      </c>
      <c r="E11" s="38">
        <f t="shared" si="0"/>
        <v>15246.744177534245</v>
      </c>
      <c r="F11" s="38">
        <f t="shared" si="0"/>
        <v>18690.34450388082</v>
      </c>
      <c r="G11" s="38">
        <f t="shared" si="0"/>
        <v>21722.184428087734</v>
      </c>
      <c r="H11" s="38">
        <f t="shared" si="0"/>
        <v>24351.598729009107</v>
      </c>
      <c r="I11" s="38">
        <f t="shared" si="0"/>
        <v>26680.166077855411</v>
      </c>
      <c r="J11" s="2" t="s">
        <v>201</v>
      </c>
    </row>
    <row r="13" spans="1:10" x14ac:dyDescent="0.2">
      <c r="A13" s="39" t="s">
        <v>202</v>
      </c>
      <c r="B13" s="28">
        <v>-8899</v>
      </c>
      <c r="C13" s="28">
        <v>-11342</v>
      </c>
      <c r="D13" s="28">
        <v>-8527</v>
      </c>
      <c r="E13" s="37">
        <f>-Assumptions!E50*IS!E9</f>
        <v>-20841.462349999998</v>
      </c>
      <c r="F13" s="37">
        <f>-Assumptions!F50*IS!F9</f>
        <v>-17774.2696</v>
      </c>
      <c r="G13" s="37">
        <f>-Assumptions!G50*IS!G9</f>
        <v>-15182.964277500001</v>
      </c>
      <c r="H13" s="37">
        <f>-Assumptions!H50*IS!H9</f>
        <v>-13776.388110261001</v>
      </c>
      <c r="I13" s="37">
        <f>-Assumptions!I50*IS!I9</f>
        <v>-12589.203868617598</v>
      </c>
      <c r="J13" s="2" t="s">
        <v>203</v>
      </c>
    </row>
    <row r="14" spans="1:10" x14ac:dyDescent="0.2">
      <c r="A14" s="39" t="s">
        <v>204</v>
      </c>
      <c r="D14" s="28">
        <v>-6951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" t="s">
        <v>205</v>
      </c>
    </row>
    <row r="15" spans="1:10" x14ac:dyDescent="0.2">
      <c r="A15" s="5" t="s">
        <v>206</v>
      </c>
      <c r="B15" s="24"/>
      <c r="C15" s="24"/>
      <c r="D15" s="38">
        <f t="shared" ref="D15:I15" si="1">D13+D14</f>
        <v>-15478</v>
      </c>
      <c r="E15" s="38">
        <f t="shared" si="1"/>
        <v>-20841.462349999998</v>
      </c>
      <c r="F15" s="38">
        <f t="shared" si="1"/>
        <v>-17774.2696</v>
      </c>
      <c r="G15" s="38">
        <f t="shared" si="1"/>
        <v>-15182.964277500001</v>
      </c>
      <c r="H15" s="38">
        <f t="shared" si="1"/>
        <v>-13776.388110261001</v>
      </c>
      <c r="I15" s="38">
        <f t="shared" si="1"/>
        <v>-12589.203868617598</v>
      </c>
      <c r="J15" s="2" t="s">
        <v>207</v>
      </c>
    </row>
    <row r="17" spans="1:10" x14ac:dyDescent="0.2">
      <c r="A17" s="39" t="s">
        <v>208</v>
      </c>
      <c r="D17" s="28">
        <v>1139</v>
      </c>
      <c r="E17" s="27">
        <f>Assumptions!E67</f>
        <v>0</v>
      </c>
      <c r="F17" s="27">
        <f>Assumptions!F67</f>
        <v>0</v>
      </c>
      <c r="G17" s="27">
        <f>Assumptions!G67</f>
        <v>0</v>
      </c>
      <c r="H17" s="27">
        <f>Assumptions!H67</f>
        <v>0</v>
      </c>
      <c r="I17" s="27">
        <f>Assumptions!I67</f>
        <v>0</v>
      </c>
      <c r="J17" s="2" t="s">
        <v>209</v>
      </c>
    </row>
    <row r="18" spans="1:10" x14ac:dyDescent="0.2">
      <c r="A18" s="39" t="s">
        <v>210</v>
      </c>
      <c r="D18" s="28">
        <v>171</v>
      </c>
      <c r="E18" s="28">
        <v>0</v>
      </c>
      <c r="F18" s="28">
        <v>0</v>
      </c>
      <c r="G18" s="28">
        <v>0</v>
      </c>
      <c r="H18" s="28">
        <v>0</v>
      </c>
      <c r="I18" s="28">
        <v>0</v>
      </c>
      <c r="J18" s="2" t="s">
        <v>211</v>
      </c>
    </row>
    <row r="19" spans="1:10" x14ac:dyDescent="0.2">
      <c r="A19" s="5" t="s">
        <v>212</v>
      </c>
      <c r="B19" s="24"/>
      <c r="C19" s="24"/>
      <c r="D19" s="38">
        <f t="shared" ref="D19:I19" si="2">D11+D15+D17+D18</f>
        <v>579</v>
      </c>
      <c r="E19" s="38">
        <f t="shared" si="2"/>
        <v>-5594.718172465753</v>
      </c>
      <c r="F19" s="38">
        <f t="shared" si="2"/>
        <v>916.07490388082078</v>
      </c>
      <c r="G19" s="38">
        <f t="shared" si="2"/>
        <v>6539.2201505877329</v>
      </c>
      <c r="H19" s="38">
        <f t="shared" si="2"/>
        <v>10575.210618748106</v>
      </c>
      <c r="I19" s="38">
        <f t="shared" si="2"/>
        <v>14090.962209237812</v>
      </c>
      <c r="J19" s="2" t="s">
        <v>213</v>
      </c>
    </row>
    <row r="21" spans="1:10" x14ac:dyDescent="0.2">
      <c r="A21" s="5" t="s">
        <v>214</v>
      </c>
      <c r="B21" s="42">
        <f t="shared" ref="B21:I21" si="3">B11+B13</f>
        <v>4357</v>
      </c>
      <c r="C21" s="42">
        <f t="shared" si="3"/>
        <v>3581</v>
      </c>
      <c r="D21" s="42">
        <f t="shared" si="3"/>
        <v>6220</v>
      </c>
      <c r="E21" s="42">
        <f t="shared" si="3"/>
        <v>-5594.718172465753</v>
      </c>
      <c r="F21" s="42">
        <f t="shared" si="3"/>
        <v>916.07490388082078</v>
      </c>
      <c r="G21" s="42">
        <f t="shared" si="3"/>
        <v>6539.2201505877329</v>
      </c>
      <c r="H21" s="42">
        <f t="shared" si="3"/>
        <v>10575.210618748106</v>
      </c>
      <c r="I21" s="42">
        <f t="shared" si="3"/>
        <v>14090.962209237812</v>
      </c>
      <c r="J21" s="2" t="s">
        <v>215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5"/>
  <sheetViews>
    <sheetView showGridLines="0" zoomScale="115" zoomScaleNormal="100" workbookViewId="0">
      <pane xSplit="1" ySplit="4" topLeftCell="D5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52" customWidth="1"/>
    <col min="2" max="9" width="12" customWidth="1"/>
    <col min="10" max="10" width="70" customWidth="1"/>
  </cols>
  <sheetData>
    <row r="1" spans="1:10" ht="18" x14ac:dyDescent="0.2">
      <c r="A1" s="13" t="s">
        <v>216</v>
      </c>
    </row>
    <row r="2" spans="1:10" x14ac:dyDescent="0.2">
      <c r="A2" s="2" t="s">
        <v>217</v>
      </c>
    </row>
    <row r="4" spans="1:10" x14ac:dyDescent="0.2">
      <c r="A4" s="16" t="s">
        <v>31</v>
      </c>
      <c r="B4" s="17"/>
      <c r="C4" s="17"/>
      <c r="D4" s="17" t="s">
        <v>34</v>
      </c>
      <c r="E4" s="17" t="s">
        <v>35</v>
      </c>
      <c r="F4" s="17" t="s">
        <v>36</v>
      </c>
      <c r="G4" s="17" t="s">
        <v>37</v>
      </c>
      <c r="H4" s="17" t="s">
        <v>38</v>
      </c>
      <c r="I4" s="17" t="s">
        <v>39</v>
      </c>
      <c r="J4" s="16" t="s">
        <v>40</v>
      </c>
    </row>
    <row r="5" spans="1:10" x14ac:dyDescent="0.2">
      <c r="A5" s="6" t="s">
        <v>218</v>
      </c>
      <c r="D5" s="27">
        <f>IS!D9</f>
        <v>94827</v>
      </c>
      <c r="E5" s="27">
        <f>IS!E9</f>
        <v>101665.67</v>
      </c>
      <c r="F5" s="27">
        <f>IS!F9</f>
        <v>111089.185</v>
      </c>
      <c r="G5" s="27">
        <f>IS!G9</f>
        <v>121463.71422000001</v>
      </c>
      <c r="H5" s="27">
        <f>IS!H9</f>
        <v>131203.69628820001</v>
      </c>
      <c r="I5" s="27">
        <f>IS!I9</f>
        <v>139880.04298463999</v>
      </c>
    </row>
    <row r="6" spans="1:10" x14ac:dyDescent="0.2">
      <c r="A6" s="6" t="s">
        <v>219</v>
      </c>
      <c r="D6" s="27">
        <f>IS!D21</f>
        <v>4355</v>
      </c>
      <c r="E6" s="27">
        <f>IS!E21</f>
        <v>5317.062159999994</v>
      </c>
      <c r="F6" s="27">
        <f>IS!F21</f>
        <v>6942.4465899999959</v>
      </c>
      <c r="G6" s="27">
        <f>IS!G21</f>
        <v>8784.8615671200096</v>
      </c>
      <c r="H6" s="27">
        <f>IS!H21</f>
        <v>10752.972911611225</v>
      </c>
      <c r="I6" s="27">
        <f>IS!I21</f>
        <v>12626.743113196782</v>
      </c>
    </row>
    <row r="7" spans="1:10" x14ac:dyDescent="0.2">
      <c r="A7" s="43" t="s">
        <v>220</v>
      </c>
      <c r="D7" s="46">
        <f t="shared" ref="D7:I7" si="0">D6/D5</f>
        <v>4.5925738450019508E-2</v>
      </c>
      <c r="E7" s="46">
        <f t="shared" si="0"/>
        <v>5.2299484771998202E-2</v>
      </c>
      <c r="F7" s="46">
        <f t="shared" si="0"/>
        <v>6.249435163287944E-2</v>
      </c>
      <c r="G7" s="46">
        <f t="shared" si="0"/>
        <v>7.2324987125031534E-2</v>
      </c>
      <c r="H7" s="46">
        <f t="shared" si="0"/>
        <v>8.195632604733491E-2</v>
      </c>
      <c r="I7" s="46">
        <f t="shared" si="0"/>
        <v>9.026836740808912E-2</v>
      </c>
    </row>
    <row r="8" spans="1:10" x14ac:dyDescent="0.2">
      <c r="A8" s="39" t="s">
        <v>221</v>
      </c>
      <c r="E8" s="37">
        <f>-E6*Assumptions!E65</f>
        <v>-1329.2655399999985</v>
      </c>
      <c r="F8" s="37">
        <f>-F6*Assumptions!F65</f>
        <v>-1735.611647499999</v>
      </c>
      <c r="G8" s="37">
        <f>-G6*Assumptions!G65</f>
        <v>-2196.2153917800024</v>
      </c>
      <c r="H8" s="37">
        <f>-H6*Assumptions!H65</f>
        <v>-2688.2432279028062</v>
      </c>
      <c r="I8" s="37">
        <f>-I6*Assumptions!I65</f>
        <v>-3156.6857782991956</v>
      </c>
    </row>
    <row r="9" spans="1:10" x14ac:dyDescent="0.2">
      <c r="A9" s="5" t="s">
        <v>222</v>
      </c>
      <c r="E9" s="38">
        <f>E6+E8</f>
        <v>3987.7966199999955</v>
      </c>
      <c r="F9" s="38">
        <f>F6+F8</f>
        <v>5206.8349424999969</v>
      </c>
      <c r="G9" s="38">
        <f>G6+G8</f>
        <v>6588.6461753400072</v>
      </c>
      <c r="H9" s="38">
        <f>H6+H8</f>
        <v>8064.7296837084186</v>
      </c>
      <c r="I9" s="38">
        <f>I6+I8</f>
        <v>9470.0573348975868</v>
      </c>
    </row>
    <row r="10" spans="1:10" x14ac:dyDescent="0.2">
      <c r="A10" s="39" t="s">
        <v>223</v>
      </c>
      <c r="E10" s="27">
        <f>CF!E7</f>
        <v>6520.67</v>
      </c>
      <c r="F10" s="27">
        <f>CF!F7</f>
        <v>8382.3730055000015</v>
      </c>
      <c r="G10" s="27">
        <f>CF!G7</f>
        <v>9603.319562785</v>
      </c>
      <c r="H10" s="27">
        <f>CF!H7</f>
        <v>10328.673375697948</v>
      </c>
      <c r="I10" s="27">
        <f>CF!I7</f>
        <v>10776.876291191145</v>
      </c>
    </row>
    <row r="11" spans="1:10" x14ac:dyDescent="0.2">
      <c r="A11" s="39" t="s">
        <v>224</v>
      </c>
      <c r="E11" s="27">
        <f>CF!E13</f>
        <v>-20841.462349999998</v>
      </c>
      <c r="F11" s="27">
        <f>CF!F13</f>
        <v>-17774.2696</v>
      </c>
      <c r="G11" s="27">
        <f>CF!G13</f>
        <v>-15182.964277500001</v>
      </c>
      <c r="H11" s="27">
        <f>CF!H13</f>
        <v>-13776.388110261001</v>
      </c>
      <c r="I11" s="27">
        <f>CF!I13</f>
        <v>-12589.203868617598</v>
      </c>
    </row>
    <row r="12" spans="1:10" x14ac:dyDescent="0.2">
      <c r="A12" s="39" t="s">
        <v>225</v>
      </c>
      <c r="E12" s="27">
        <f>CF!E10</f>
        <v>649.22745753424897</v>
      </c>
      <c r="F12" s="27">
        <f>CF!F10</f>
        <v>897.22255105479326</v>
      </c>
      <c r="G12" s="27">
        <f>CF!G10</f>
        <v>987.58656142027576</v>
      </c>
      <c r="H12" s="27">
        <f>CF!H10</f>
        <v>927.18747449665352</v>
      </c>
      <c r="I12" s="27">
        <f>CF!I10</f>
        <v>824.67753720494966</v>
      </c>
      <c r="J12" s="2" t="s">
        <v>226</v>
      </c>
    </row>
    <row r="13" spans="1:10" x14ac:dyDescent="0.2">
      <c r="A13" s="5" t="s">
        <v>227</v>
      </c>
      <c r="E13" s="38">
        <f>E9+E10+E11+E12</f>
        <v>-9683.7682724657534</v>
      </c>
      <c r="F13" s="38">
        <f>F9+F10+F11+F12</f>
        <v>-3287.8391009452071</v>
      </c>
      <c r="G13" s="38">
        <f>G9+G10+G11+G12</f>
        <v>1996.5880220452818</v>
      </c>
      <c r="H13" s="38">
        <f>H9+H10+H11+H12</f>
        <v>5544.2024236420184</v>
      </c>
      <c r="I13" s="38">
        <f>I9+I10+I11+I12</f>
        <v>8482.4072946760825</v>
      </c>
      <c r="J13" s="2" t="s">
        <v>228</v>
      </c>
    </row>
    <row r="15" spans="1:10" x14ac:dyDescent="0.2">
      <c r="A15" s="6" t="s">
        <v>229</v>
      </c>
      <c r="E15" s="30">
        <v>1</v>
      </c>
      <c r="F15" s="30">
        <v>2</v>
      </c>
      <c r="G15" s="30">
        <v>3</v>
      </c>
      <c r="H15" s="30">
        <v>4</v>
      </c>
      <c r="I15" s="30">
        <v>5</v>
      </c>
    </row>
    <row r="16" spans="1:10" x14ac:dyDescent="0.2">
      <c r="A16" s="6" t="s">
        <v>230</v>
      </c>
      <c r="E16" s="47">
        <f>1/(1+$B$34)^E15</f>
        <v>0.88098354984647853</v>
      </c>
      <c r="F16" s="47">
        <f>1/(1+$B$34)^F15</f>
        <v>0.77613201510010277</v>
      </c>
      <c r="G16" s="47">
        <f>1/(1+$B$34)^G15</f>
        <v>0.6837595378123893</v>
      </c>
      <c r="H16" s="47">
        <f>1/(1+$B$34)^H15</f>
        <v>0.60238090486334617</v>
      </c>
      <c r="I16" s="47">
        <f>1/(1+$B$34)^I15</f>
        <v>0.53068766792624467</v>
      </c>
    </row>
    <row r="17" spans="1:10" x14ac:dyDescent="0.2">
      <c r="A17" s="5" t="s">
        <v>231</v>
      </c>
      <c r="E17" s="42">
        <f>E13*E16</f>
        <v>-8531.2405485675808</v>
      </c>
      <c r="F17" s="42">
        <f>F13*F16</f>
        <v>-2551.7971867415135</v>
      </c>
      <c r="G17" s="42">
        <f>G13*G16</f>
        <v>1365.1861031554345</v>
      </c>
      <c r="H17" s="42">
        <f>H13*H16</f>
        <v>3339.7216726990359</v>
      </c>
      <c r="I17" s="42">
        <f>I13*I16</f>
        <v>4501.5089456122159</v>
      </c>
    </row>
    <row r="19" spans="1:10" x14ac:dyDescent="0.2">
      <c r="A19" s="18" t="s">
        <v>232</v>
      </c>
      <c r="B19" s="19"/>
      <c r="C19" s="19"/>
      <c r="D19" s="19"/>
      <c r="E19" s="19"/>
      <c r="F19" s="19"/>
      <c r="G19" s="19"/>
      <c r="H19" s="19"/>
      <c r="I19" s="19"/>
      <c r="J19" s="19"/>
    </row>
    <row r="21" spans="1:10" x14ac:dyDescent="0.2">
      <c r="A21" s="6" t="s">
        <v>233</v>
      </c>
      <c r="B21" s="48">
        <f>Assumptions!B70</f>
        <v>5.2400000000000002E-2</v>
      </c>
    </row>
    <row r="22" spans="1:10" x14ac:dyDescent="0.2">
      <c r="A22" s="6" t="s">
        <v>98</v>
      </c>
      <c r="B22" s="49">
        <f>Assumptions!B72</f>
        <v>1.85</v>
      </c>
    </row>
    <row r="23" spans="1:10" x14ac:dyDescent="0.2">
      <c r="A23" s="6" t="s">
        <v>96</v>
      </c>
      <c r="B23" s="48">
        <f>Assumptions!B71</f>
        <v>4.4999999999999998E-2</v>
      </c>
    </row>
    <row r="24" spans="1:10" x14ac:dyDescent="0.2">
      <c r="A24" s="6" t="s">
        <v>234</v>
      </c>
      <c r="B24" s="50">
        <f>B21+B22*B23</f>
        <v>0.13564999999999999</v>
      </c>
      <c r="J24" s="2" t="s">
        <v>235</v>
      </c>
    </row>
    <row r="25" spans="1:10" x14ac:dyDescent="0.2">
      <c r="A25" s="6" t="s">
        <v>236</v>
      </c>
      <c r="B25" s="48">
        <f>Assumptions!B73</f>
        <v>5.5E-2</v>
      </c>
    </row>
    <row r="26" spans="1:10" x14ac:dyDescent="0.2">
      <c r="A26" s="6" t="s">
        <v>237</v>
      </c>
      <c r="B26" s="48">
        <f>Assumptions!I65</f>
        <v>0.25</v>
      </c>
    </row>
    <row r="27" spans="1:10" x14ac:dyDescent="0.2">
      <c r="A27" s="6" t="s">
        <v>238</v>
      </c>
      <c r="B27" s="50">
        <f>B25*(1-B26)</f>
        <v>4.1250000000000002E-2</v>
      </c>
    </row>
    <row r="28" spans="1:10" x14ac:dyDescent="0.2">
      <c r="A28" s="6" t="s">
        <v>239</v>
      </c>
      <c r="B28" s="51">
        <f>Assumptions!B74</f>
        <v>358.54</v>
      </c>
    </row>
    <row r="29" spans="1:10" x14ac:dyDescent="0.2">
      <c r="A29" s="6" t="s">
        <v>240</v>
      </c>
      <c r="B29" s="27">
        <f>Assumptions!B75</f>
        <v>3950</v>
      </c>
    </row>
    <row r="30" spans="1:10" x14ac:dyDescent="0.2">
      <c r="A30" s="6" t="s">
        <v>241</v>
      </c>
      <c r="B30" s="37">
        <f>B28*B29</f>
        <v>1416233</v>
      </c>
    </row>
    <row r="31" spans="1:10" x14ac:dyDescent="0.2">
      <c r="A31" s="6" t="s">
        <v>242</v>
      </c>
      <c r="B31" s="27">
        <f>BS!D19</f>
        <v>8376</v>
      </c>
    </row>
    <row r="32" spans="1:10" x14ac:dyDescent="0.2">
      <c r="A32" s="6" t="s">
        <v>243</v>
      </c>
      <c r="B32" s="52">
        <f>B30/(B30+B31)</f>
        <v>0.99412049200868446</v>
      </c>
    </row>
    <row r="33" spans="1:10" x14ac:dyDescent="0.2">
      <c r="A33" s="6" t="s">
        <v>244</v>
      </c>
      <c r="B33" s="52">
        <f>B31/(B30+B31)</f>
        <v>5.8795079913155114E-3</v>
      </c>
    </row>
    <row r="34" spans="1:10" x14ac:dyDescent="0.2">
      <c r="A34" s="5" t="s">
        <v>20</v>
      </c>
      <c r="B34" s="53">
        <f>B32*B24+B33*B27</f>
        <v>0.1350949744456198</v>
      </c>
      <c r="J34" s="2" t="s">
        <v>245</v>
      </c>
    </row>
    <row r="36" spans="1:10" x14ac:dyDescent="0.2">
      <c r="A36" s="18" t="s">
        <v>246</v>
      </c>
      <c r="B36" s="19"/>
      <c r="C36" s="19"/>
      <c r="D36" s="19"/>
      <c r="E36" s="19"/>
      <c r="F36" s="19"/>
      <c r="G36" s="19"/>
      <c r="H36" s="19"/>
      <c r="I36" s="19"/>
      <c r="J36" s="19"/>
    </row>
    <row r="37" spans="1:10" x14ac:dyDescent="0.2">
      <c r="A37" s="6" t="s">
        <v>105</v>
      </c>
      <c r="B37" s="48">
        <f>Assumptions!B76</f>
        <v>0.03</v>
      </c>
    </row>
    <row r="38" spans="1:10" x14ac:dyDescent="0.2">
      <c r="A38" s="6" t="s">
        <v>247</v>
      </c>
      <c r="B38" s="37">
        <f>I13</f>
        <v>8482.4072946760825</v>
      </c>
    </row>
    <row r="39" spans="1:10" x14ac:dyDescent="0.2">
      <c r="A39" s="6" t="s">
        <v>248</v>
      </c>
      <c r="B39" s="37">
        <f>B38*(1+B37)/(B34-B37)</f>
        <v>83133.180816720822</v>
      </c>
    </row>
    <row r="40" spans="1:10" x14ac:dyDescent="0.2">
      <c r="A40" s="6" t="s">
        <v>249</v>
      </c>
      <c r="B40" s="37">
        <f>B39*I16</f>
        <v>44117.753854916395</v>
      </c>
    </row>
    <row r="41" spans="1:10" x14ac:dyDescent="0.2">
      <c r="A41" s="6" t="s">
        <v>250</v>
      </c>
      <c r="B41" s="37">
        <f>SUM(E17:I17)</f>
        <v>-1876.6210138424094</v>
      </c>
    </row>
    <row r="42" spans="1:10" x14ac:dyDescent="0.2">
      <c r="A42" s="5" t="s">
        <v>251</v>
      </c>
      <c r="B42" s="38">
        <f>B40+B41</f>
        <v>42241.132841073988</v>
      </c>
    </row>
    <row r="43" spans="1:10" x14ac:dyDescent="0.2">
      <c r="A43" s="6" t="s">
        <v>252</v>
      </c>
      <c r="B43" s="52">
        <f>B40/B42</f>
        <v>1.0444263893419459</v>
      </c>
    </row>
    <row r="44" spans="1:10" x14ac:dyDescent="0.2">
      <c r="A44" s="6" t="s">
        <v>253</v>
      </c>
      <c r="B44" s="54">
        <f>B39/IS!I38</f>
        <v>3.5521506045827356</v>
      </c>
      <c r="J44" s="2" t="s">
        <v>254</v>
      </c>
    </row>
    <row r="45" spans="1:10" x14ac:dyDescent="0.2">
      <c r="A45" s="6" t="s">
        <v>255</v>
      </c>
      <c r="B45" s="54">
        <f>-I11/I10</f>
        <v>1.1681681712267424</v>
      </c>
      <c r="J45" s="2" t="s">
        <v>256</v>
      </c>
    </row>
    <row r="47" spans="1:10" x14ac:dyDescent="0.2">
      <c r="A47" s="18" t="s">
        <v>257</v>
      </c>
      <c r="B47" s="19"/>
      <c r="C47" s="19"/>
      <c r="D47" s="19"/>
      <c r="E47" s="19"/>
      <c r="F47" s="19"/>
      <c r="G47" s="19"/>
      <c r="H47" s="19"/>
      <c r="I47" s="19"/>
      <c r="J47" s="19"/>
    </row>
    <row r="48" spans="1:10" x14ac:dyDescent="0.2">
      <c r="A48" s="6" t="s">
        <v>251</v>
      </c>
      <c r="B48" s="37">
        <f>B42</f>
        <v>42241.132841073988</v>
      </c>
    </row>
    <row r="49" spans="1:10" x14ac:dyDescent="0.2">
      <c r="A49" s="6" t="s">
        <v>258</v>
      </c>
      <c r="B49" s="37">
        <f>-BS!D19</f>
        <v>-8376</v>
      </c>
    </row>
    <row r="50" spans="1:10" x14ac:dyDescent="0.2">
      <c r="A50" s="6" t="s">
        <v>259</v>
      </c>
      <c r="B50" s="27">
        <f>BS!D6</f>
        <v>44059</v>
      </c>
    </row>
    <row r="51" spans="1:10" x14ac:dyDescent="0.2">
      <c r="A51" s="6" t="s">
        <v>260</v>
      </c>
      <c r="B51" s="27">
        <f>BS!D12</f>
        <v>1008</v>
      </c>
    </row>
    <row r="52" spans="1:10" x14ac:dyDescent="0.2">
      <c r="A52" s="6" t="s">
        <v>261</v>
      </c>
      <c r="B52" s="37">
        <f>-BS!D24</f>
        <v>-728</v>
      </c>
      <c r="J52" s="2" t="s">
        <v>262</v>
      </c>
    </row>
    <row r="53" spans="1:10" x14ac:dyDescent="0.2">
      <c r="A53" s="5" t="s">
        <v>263</v>
      </c>
      <c r="B53" s="38">
        <f>SUM(B48:B52)</f>
        <v>78204.132841073995</v>
      </c>
    </row>
    <row r="54" spans="1:10" x14ac:dyDescent="0.2">
      <c r="A54" s="6" t="s">
        <v>240</v>
      </c>
      <c r="B54" s="37">
        <f>B29</f>
        <v>3950</v>
      </c>
    </row>
    <row r="55" spans="1:10" x14ac:dyDescent="0.2">
      <c r="A55" s="5" t="s">
        <v>22</v>
      </c>
      <c r="B55" s="55">
        <f>B53/B54</f>
        <v>19.798514643309872</v>
      </c>
    </row>
    <row r="56" spans="1:10" x14ac:dyDescent="0.2">
      <c r="A56" s="6" t="s">
        <v>23</v>
      </c>
      <c r="B56" s="56">
        <f>B28</f>
        <v>358.54</v>
      </c>
    </row>
    <row r="57" spans="1:10" x14ac:dyDescent="0.2">
      <c r="A57" s="6" t="s">
        <v>264</v>
      </c>
      <c r="B57" s="57">
        <f>B55/B56-1</f>
        <v>-0.94478017893872412</v>
      </c>
      <c r="J57" s="2" t="s">
        <v>265</v>
      </c>
    </row>
    <row r="59" spans="1:10" x14ac:dyDescent="0.2">
      <c r="A59" s="18" t="s">
        <v>266</v>
      </c>
      <c r="B59" s="19"/>
      <c r="C59" s="19"/>
      <c r="D59" s="19"/>
      <c r="E59" s="19"/>
      <c r="F59" s="19"/>
      <c r="G59" s="19"/>
      <c r="H59" s="19"/>
      <c r="I59" s="19"/>
      <c r="J59" s="19"/>
    </row>
    <row r="60" spans="1:10" x14ac:dyDescent="0.2">
      <c r="B60" s="58" t="s">
        <v>267</v>
      </c>
      <c r="C60" s="59">
        <f>$B$37+(-0.01)</f>
        <v>1.9999999999999997E-2</v>
      </c>
      <c r="D60" s="59">
        <f>$B$37+(-0.005)</f>
        <v>2.4999999999999998E-2</v>
      </c>
      <c r="E60" s="59">
        <f>$B$37+(0)</f>
        <v>0.03</v>
      </c>
      <c r="F60" s="59">
        <f>$B$37+(0.005)</f>
        <v>3.4999999999999996E-2</v>
      </c>
      <c r="G60" s="59">
        <f>$B$37+(0.01)</f>
        <v>0.04</v>
      </c>
      <c r="J60" s="2" t="s">
        <v>268</v>
      </c>
    </row>
    <row r="61" spans="1:10" x14ac:dyDescent="0.2">
      <c r="B61" s="59">
        <f>$B$34+(-0.02)</f>
        <v>0.11509497444561979</v>
      </c>
      <c r="C61" s="56">
        <f t="shared" ref="C61:G65" si="1">(SUMPRODUCT($E$13:$I$13/(1+$B61)^$E$15:$I$15)+$I$13*(1+C$60)/($B61-C$60)/(1+$B61)^$I$15+($B$53-$B$48))/$B$54</f>
        <v>22.114483474012417</v>
      </c>
      <c r="D61" s="56">
        <f t="shared" si="1"/>
        <v>22.925045892638956</v>
      </c>
      <c r="E61" s="56">
        <f t="shared" si="1"/>
        <v>23.830862164258249</v>
      </c>
      <c r="F61" s="56">
        <f t="shared" si="1"/>
        <v>24.849771208287908</v>
      </c>
      <c r="G61" s="56">
        <f t="shared" si="1"/>
        <v>26.004362972972537</v>
      </c>
    </row>
    <row r="62" spans="1:10" x14ac:dyDescent="0.2">
      <c r="B62" s="59">
        <f>$B$34+(-0.01)</f>
        <v>0.12509497444561979</v>
      </c>
      <c r="C62" s="56">
        <f t="shared" si="1"/>
        <v>20.251017331185743</v>
      </c>
      <c r="D62" s="56">
        <f t="shared" si="1"/>
        <v>20.888019732457845</v>
      </c>
      <c r="E62" s="56">
        <f t="shared" si="1"/>
        <v>21.592008050176709</v>
      </c>
      <c r="F62" s="56">
        <f t="shared" si="1"/>
        <v>22.374134834780175</v>
      </c>
      <c r="G62" s="56">
        <f t="shared" si="1"/>
        <v>23.248173837431647</v>
      </c>
    </row>
    <row r="63" spans="1:10" x14ac:dyDescent="0.2">
      <c r="B63" s="59">
        <f>$B$34+(0)</f>
        <v>0.1350949744456198</v>
      </c>
      <c r="C63" s="56">
        <f t="shared" si="1"/>
        <v>18.729078363750006</v>
      </c>
      <c r="D63" s="56">
        <f t="shared" si="1"/>
        <v>19.239512100791647</v>
      </c>
      <c r="E63" s="60">
        <f t="shared" si="1"/>
        <v>19.798514643309872</v>
      </c>
      <c r="F63" s="56">
        <f t="shared" si="1"/>
        <v>20.413364399498338</v>
      </c>
      <c r="G63" s="56">
        <f t="shared" si="1"/>
        <v>21.092870543658194</v>
      </c>
    </row>
    <row r="64" spans="1:10" x14ac:dyDescent="0.2">
      <c r="B64" s="59">
        <f>$B$34+(0.01)</f>
        <v>0.14509497444561981</v>
      </c>
      <c r="C64" s="56">
        <f t="shared" si="1"/>
        <v>17.46607578047421</v>
      </c>
      <c r="D64" s="56">
        <f t="shared" si="1"/>
        <v>17.881757857241059</v>
      </c>
      <c r="E64" s="56">
        <f t="shared" si="1"/>
        <v>18.333556374258155</v>
      </c>
      <c r="F64" s="56">
        <f t="shared" si="1"/>
        <v>18.826392052080461</v>
      </c>
      <c r="G64" s="56">
        <f t="shared" si="1"/>
        <v>19.366122044347584</v>
      </c>
    </row>
    <row r="65" spans="1:10" x14ac:dyDescent="0.2">
      <c r="B65" s="59">
        <f>$B$34+(0.02)</f>
        <v>0.15509497444561979</v>
      </c>
      <c r="C65" s="56">
        <f t="shared" si="1"/>
        <v>16.403906051722</v>
      </c>
      <c r="D65" s="56">
        <f t="shared" si="1"/>
        <v>16.747085711684729</v>
      </c>
      <c r="E65" s="56">
        <f t="shared" si="1"/>
        <v>17.117698900570868</v>
      </c>
      <c r="F65" s="56">
        <f t="shared" si="1"/>
        <v>17.519172097596147</v>
      </c>
      <c r="G65" s="56">
        <f t="shared" si="1"/>
        <v>17.955527199670634</v>
      </c>
    </row>
    <row r="67" spans="1:10" x14ac:dyDescent="0.2">
      <c r="A67" s="18" t="s">
        <v>269</v>
      </c>
      <c r="B67" s="19"/>
      <c r="C67" s="19"/>
      <c r="D67" s="19"/>
      <c r="E67" s="19"/>
      <c r="F67" s="19"/>
      <c r="G67" s="19"/>
      <c r="H67" s="19"/>
      <c r="I67" s="19"/>
      <c r="J67" s="19"/>
    </row>
    <row r="68" spans="1:10" x14ac:dyDescent="0.2">
      <c r="A68" s="6" t="s">
        <v>241</v>
      </c>
      <c r="B68" s="37">
        <f>B30</f>
        <v>1416233</v>
      </c>
    </row>
    <row r="69" spans="1:10" x14ac:dyDescent="0.2">
      <c r="A69" s="6" t="s">
        <v>270</v>
      </c>
      <c r="B69" s="37">
        <f>B68-B50-B51+(-B49)+(-B52)</f>
        <v>1380270</v>
      </c>
      <c r="J69" s="2" t="s">
        <v>271</v>
      </c>
    </row>
    <row r="70" spans="1:10" x14ac:dyDescent="0.2">
      <c r="A70" s="6" t="s">
        <v>272</v>
      </c>
      <c r="B70" s="37">
        <f>-B41</f>
        <v>1876.6210138424094</v>
      </c>
    </row>
    <row r="71" spans="1:10" x14ac:dyDescent="0.2">
      <c r="A71" s="6" t="s">
        <v>273</v>
      </c>
      <c r="B71" s="37">
        <f>B69+B70</f>
        <v>1382146.6210138425</v>
      </c>
    </row>
    <row r="72" spans="1:10" x14ac:dyDescent="0.2">
      <c r="A72" s="6" t="s">
        <v>274</v>
      </c>
      <c r="B72" s="37">
        <f>B71*(1+B34)^I15</f>
        <v>2604444.5811503842</v>
      </c>
    </row>
    <row r="73" spans="1:10" x14ac:dyDescent="0.2">
      <c r="A73" s="6" t="s">
        <v>275</v>
      </c>
      <c r="B73" s="37">
        <f>B72*(B34-B37)/(1+B37)</f>
        <v>265741.78320488601</v>
      </c>
    </row>
    <row r="74" spans="1:10" x14ac:dyDescent="0.2">
      <c r="A74" s="6" t="s">
        <v>276</v>
      </c>
      <c r="B74" s="37">
        <f>B38</f>
        <v>8482.4072946760825</v>
      </c>
    </row>
    <row r="75" spans="1:10" x14ac:dyDescent="0.2">
      <c r="A75" s="5" t="s">
        <v>277</v>
      </c>
      <c r="B75" s="61">
        <f>IF(B74&gt;0,B73/B74,"n/a")</f>
        <v>31.328580905526287</v>
      </c>
      <c r="J75" s="2" t="s">
        <v>278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2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58" customWidth="1"/>
    <col min="2" max="9" width="12" customWidth="1"/>
    <col min="10" max="10" width="70" customWidth="1"/>
  </cols>
  <sheetData>
    <row r="1" spans="1:10" ht="18" x14ac:dyDescent="0.2">
      <c r="A1" s="13" t="s">
        <v>279</v>
      </c>
    </row>
    <row r="2" spans="1:10" x14ac:dyDescent="0.2">
      <c r="A2" s="2" t="s">
        <v>280</v>
      </c>
    </row>
    <row r="4" spans="1:10" x14ac:dyDescent="0.2">
      <c r="A4" s="16" t="s">
        <v>281</v>
      </c>
      <c r="B4" s="17" t="s">
        <v>32</v>
      </c>
      <c r="C4" s="17" t="s">
        <v>33</v>
      </c>
      <c r="D4" s="17" t="s">
        <v>34</v>
      </c>
      <c r="E4" s="17" t="s">
        <v>35</v>
      </c>
      <c r="F4" s="17" t="s">
        <v>36</v>
      </c>
      <c r="G4" s="17" t="s">
        <v>37</v>
      </c>
      <c r="H4" s="17" t="s">
        <v>38</v>
      </c>
      <c r="I4" s="17" t="s">
        <v>39</v>
      </c>
      <c r="J4" s="16" t="s">
        <v>40</v>
      </c>
    </row>
    <row r="5" spans="1:10" x14ac:dyDescent="0.2">
      <c r="A5" s="18" t="s">
        <v>282</v>
      </c>
      <c r="B5" s="19"/>
      <c r="C5" s="19"/>
      <c r="D5" s="19"/>
      <c r="E5" s="19"/>
      <c r="F5" s="19"/>
      <c r="G5" s="19"/>
      <c r="H5" s="19"/>
      <c r="I5" s="19"/>
      <c r="J5" s="19"/>
    </row>
    <row r="6" spans="1:10" x14ac:dyDescent="0.2">
      <c r="A6" s="6" t="s">
        <v>283</v>
      </c>
      <c r="B6" s="28">
        <v>96773</v>
      </c>
      <c r="C6" s="28">
        <v>97690</v>
      </c>
      <c r="D6" s="28">
        <v>94827</v>
      </c>
      <c r="J6" s="2" t="s">
        <v>112</v>
      </c>
    </row>
    <row r="7" spans="1:10" x14ac:dyDescent="0.2">
      <c r="A7" s="6" t="s">
        <v>284</v>
      </c>
      <c r="B7" s="28">
        <v>17660</v>
      </c>
      <c r="C7" s="28">
        <v>17450</v>
      </c>
      <c r="D7" s="28">
        <v>17094</v>
      </c>
      <c r="J7" s="2" t="s">
        <v>112</v>
      </c>
    </row>
    <row r="8" spans="1:10" x14ac:dyDescent="0.2">
      <c r="A8" s="6" t="s">
        <v>285</v>
      </c>
      <c r="B8" s="28">
        <v>8891</v>
      </c>
      <c r="C8" s="28">
        <v>7076</v>
      </c>
      <c r="D8" s="28">
        <v>4355</v>
      </c>
      <c r="J8" s="2" t="s">
        <v>112</v>
      </c>
    </row>
    <row r="9" spans="1:10" x14ac:dyDescent="0.2">
      <c r="A9" s="6" t="s">
        <v>286</v>
      </c>
      <c r="B9" s="28">
        <v>14997</v>
      </c>
      <c r="C9" s="28">
        <v>7091</v>
      </c>
      <c r="D9" s="28">
        <v>3794</v>
      </c>
      <c r="J9" s="2" t="s">
        <v>112</v>
      </c>
    </row>
    <row r="10" spans="1:10" x14ac:dyDescent="0.2">
      <c r="A10" s="6" t="s">
        <v>287</v>
      </c>
      <c r="B10" s="28">
        <v>13256</v>
      </c>
      <c r="C10" s="28">
        <v>14923</v>
      </c>
      <c r="D10" s="28">
        <v>14747</v>
      </c>
      <c r="J10" s="2" t="s">
        <v>112</v>
      </c>
    </row>
    <row r="11" spans="1:10" x14ac:dyDescent="0.2">
      <c r="A11" s="6" t="s">
        <v>288</v>
      </c>
      <c r="B11" s="28">
        <v>4357</v>
      </c>
      <c r="C11" s="28">
        <v>3581</v>
      </c>
      <c r="D11" s="28">
        <v>6220</v>
      </c>
      <c r="J11" s="2" t="s">
        <v>112</v>
      </c>
    </row>
    <row r="12" spans="1:10" x14ac:dyDescent="0.2">
      <c r="A12" s="6" t="s">
        <v>289</v>
      </c>
      <c r="D12" s="28">
        <v>-15478</v>
      </c>
      <c r="J12" s="2" t="s">
        <v>290</v>
      </c>
    </row>
    <row r="13" spans="1:10" x14ac:dyDescent="0.2">
      <c r="A13" s="6" t="s">
        <v>291</v>
      </c>
      <c r="D13" s="28">
        <v>579</v>
      </c>
      <c r="J13" s="2" t="s">
        <v>292</v>
      </c>
    </row>
    <row r="14" spans="1:10" x14ac:dyDescent="0.2">
      <c r="A14" s="6" t="s">
        <v>293</v>
      </c>
      <c r="C14" s="28">
        <v>122070</v>
      </c>
      <c r="D14" s="28">
        <v>137806</v>
      </c>
      <c r="J14" s="2" t="s">
        <v>294</v>
      </c>
    </row>
    <row r="15" spans="1:10" x14ac:dyDescent="0.2">
      <c r="A15" s="6" t="s">
        <v>295</v>
      </c>
      <c r="C15" s="28">
        <v>48390</v>
      </c>
      <c r="D15" s="28">
        <v>54941</v>
      </c>
      <c r="J15" s="2" t="s">
        <v>294</v>
      </c>
    </row>
    <row r="17" spans="1:10" x14ac:dyDescent="0.2">
      <c r="A17" s="18" t="s">
        <v>296</v>
      </c>
      <c r="B17" s="19"/>
      <c r="C17" s="19"/>
      <c r="D17" s="19"/>
      <c r="E17" s="19"/>
      <c r="F17" s="19"/>
      <c r="G17" s="19"/>
      <c r="H17" s="19"/>
      <c r="I17" s="19"/>
      <c r="J17" s="19"/>
    </row>
    <row r="18" spans="1:10" x14ac:dyDescent="0.2">
      <c r="A18" s="6" t="s">
        <v>114</v>
      </c>
      <c r="B18" s="37">
        <f>IS!B9-B6</f>
        <v>0</v>
      </c>
      <c r="C18" s="37">
        <f>IS!C9-C6</f>
        <v>0</v>
      </c>
      <c r="D18" s="37">
        <f>IS!D9-D6</f>
        <v>0</v>
      </c>
    </row>
    <row r="19" spans="1:10" x14ac:dyDescent="0.2">
      <c r="A19" s="6" t="s">
        <v>123</v>
      </c>
      <c r="B19" s="37">
        <f>IS!B15-B7</f>
        <v>0</v>
      </c>
      <c r="C19" s="37">
        <f>IS!C15-C7</f>
        <v>0</v>
      </c>
      <c r="D19" s="37">
        <f>IS!D15-D7</f>
        <v>0</v>
      </c>
    </row>
    <row r="20" spans="1:10" x14ac:dyDescent="0.2">
      <c r="A20" s="6" t="s">
        <v>297</v>
      </c>
      <c r="B20" s="37">
        <f>IS!B21-B8</f>
        <v>0</v>
      </c>
      <c r="C20" s="37">
        <f>IS!C21-C8</f>
        <v>0</v>
      </c>
      <c r="D20" s="37">
        <f>IS!D21-D8</f>
        <v>0</v>
      </c>
    </row>
    <row r="21" spans="1:10" x14ac:dyDescent="0.2">
      <c r="A21" s="6" t="s">
        <v>298</v>
      </c>
      <c r="B21" s="37">
        <f>IS!B31-B9</f>
        <v>0</v>
      </c>
      <c r="C21" s="37">
        <f>IS!C31-C9</f>
        <v>0</v>
      </c>
      <c r="D21" s="37">
        <f>IS!D31-D9</f>
        <v>0</v>
      </c>
    </row>
    <row r="22" spans="1:10" x14ac:dyDescent="0.2">
      <c r="A22" s="6" t="s">
        <v>299</v>
      </c>
      <c r="B22" s="37">
        <f>CF!B11-B10</f>
        <v>0</v>
      </c>
      <c r="C22" s="37">
        <f>CF!C11-C10</f>
        <v>0</v>
      </c>
      <c r="D22" s="37">
        <f>CF!D11-D10</f>
        <v>0</v>
      </c>
    </row>
    <row r="23" spans="1:10" x14ac:dyDescent="0.2">
      <c r="A23" s="6" t="s">
        <v>300</v>
      </c>
      <c r="B23" s="37">
        <f>CF!B21-B11</f>
        <v>0</v>
      </c>
      <c r="C23" s="37">
        <f>CF!C21-C11</f>
        <v>0</v>
      </c>
      <c r="D23" s="37">
        <f>CF!D21-D11</f>
        <v>0</v>
      </c>
    </row>
    <row r="24" spans="1:10" x14ac:dyDescent="0.2">
      <c r="A24" s="6" t="s">
        <v>301</v>
      </c>
      <c r="D24" s="37">
        <f>CF!D15-D12</f>
        <v>0</v>
      </c>
    </row>
    <row r="25" spans="1:10" x14ac:dyDescent="0.2">
      <c r="A25" s="6" t="s">
        <v>302</v>
      </c>
      <c r="D25" s="37">
        <f>CF!D19-D13</f>
        <v>0</v>
      </c>
    </row>
    <row r="26" spans="1:10" x14ac:dyDescent="0.2">
      <c r="A26" s="6" t="s">
        <v>171</v>
      </c>
      <c r="C26" s="37">
        <f>BS!C14-C14</f>
        <v>0</v>
      </c>
      <c r="D26" s="37">
        <f>BS!D14-D14</f>
        <v>0</v>
      </c>
    </row>
    <row r="27" spans="1:10" x14ac:dyDescent="0.2">
      <c r="A27" s="6" t="s">
        <v>180</v>
      </c>
      <c r="C27" s="37">
        <f>BS!C21-C15</f>
        <v>0</v>
      </c>
      <c r="D27" s="37">
        <f>BS!D21-D15</f>
        <v>0</v>
      </c>
    </row>
    <row r="28" spans="1:10" x14ac:dyDescent="0.2">
      <c r="A28" s="6" t="s">
        <v>303</v>
      </c>
      <c r="C28" s="27">
        <f>BS!C28</f>
        <v>0</v>
      </c>
      <c r="D28" s="27">
        <f>BS!D28</f>
        <v>0</v>
      </c>
      <c r="E28" s="27">
        <f>BS!E28</f>
        <v>0</v>
      </c>
      <c r="F28" s="27">
        <f>BS!F28</f>
        <v>0</v>
      </c>
      <c r="G28" s="27">
        <f>BS!G28</f>
        <v>0</v>
      </c>
      <c r="H28" s="27">
        <f>BS!H28</f>
        <v>0</v>
      </c>
      <c r="I28" s="27">
        <f>BS!I28</f>
        <v>0</v>
      </c>
    </row>
    <row r="29" spans="1:10" x14ac:dyDescent="0.2">
      <c r="A29" s="6" t="s">
        <v>304</v>
      </c>
      <c r="E29" s="37">
        <f>(BS!E6-BS!D6)-CF!E19</f>
        <v>0</v>
      </c>
      <c r="F29" s="37">
        <f>(BS!F6-BS!E6)-CF!F19</f>
        <v>0</v>
      </c>
      <c r="G29" s="37">
        <f>(BS!G6-BS!F6)-CF!G19</f>
        <v>0</v>
      </c>
      <c r="H29" s="37">
        <f>(BS!H6-BS!G6)-CF!H19</f>
        <v>0</v>
      </c>
      <c r="I29" s="37">
        <f>(BS!I6-BS!H6)-CF!I19</f>
        <v>0</v>
      </c>
    </row>
    <row r="30" spans="1:10" x14ac:dyDescent="0.2">
      <c r="A30" s="6" t="s">
        <v>305</v>
      </c>
      <c r="E30" s="62">
        <f>DCF!E63-DCF!B55</f>
        <v>0</v>
      </c>
    </row>
    <row r="32" spans="1:10" x14ac:dyDescent="0.2">
      <c r="A32" s="5" t="s">
        <v>306</v>
      </c>
      <c r="B32" s="63" t="str">
        <f>IF(SUMPRODUCT(ABS(B18:I30))&lt;0.5,"ALL CHECKS PASS","CHECK ERRORS")</f>
        <v>ALL CHECKS PASS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4"/>
  <sheetViews>
    <sheetView showGridLines="0" tabSelected="1" zoomScale="150" zoomScaleNormal="100" workbookViewId="0"/>
  </sheetViews>
  <sheetFormatPr baseColWidth="10" defaultColWidth="8.6640625" defaultRowHeight="15" x14ac:dyDescent="0.2"/>
  <cols>
    <col min="1" max="1" width="44" customWidth="1"/>
    <col min="2" max="2" width="62" customWidth="1"/>
    <col min="3" max="3" width="90" customWidth="1"/>
  </cols>
  <sheetData>
    <row r="1" spans="1:3" ht="18" x14ac:dyDescent="0.2">
      <c r="A1" s="13" t="s">
        <v>307</v>
      </c>
    </row>
    <row r="2" spans="1:3" x14ac:dyDescent="0.2">
      <c r="A2" s="2" t="s">
        <v>308</v>
      </c>
    </row>
    <row r="4" spans="1:3" x14ac:dyDescent="0.2">
      <c r="A4" s="16" t="s">
        <v>309</v>
      </c>
      <c r="B4" s="16" t="s">
        <v>310</v>
      </c>
      <c r="C4" s="16" t="s">
        <v>311</v>
      </c>
    </row>
    <row r="5" spans="1:3" ht="26" x14ac:dyDescent="0.2">
      <c r="A5" s="64" t="s">
        <v>312</v>
      </c>
      <c r="B5" s="64" t="s">
        <v>313</v>
      </c>
      <c r="C5" s="64" t="s">
        <v>314</v>
      </c>
    </row>
    <row r="6" spans="1:3" ht="26" x14ac:dyDescent="0.2">
      <c r="A6" s="64" t="s">
        <v>315</v>
      </c>
      <c r="B6" s="64" t="s">
        <v>316</v>
      </c>
      <c r="C6" s="64" t="s">
        <v>317</v>
      </c>
    </row>
    <row r="7" spans="1:3" ht="26" x14ac:dyDescent="0.2">
      <c r="A7" s="64" t="s">
        <v>318</v>
      </c>
      <c r="B7" s="64" t="s">
        <v>319</v>
      </c>
      <c r="C7" s="64" t="s">
        <v>320</v>
      </c>
    </row>
    <row r="8" spans="1:3" ht="39" x14ac:dyDescent="0.2">
      <c r="A8" s="64" t="s">
        <v>321</v>
      </c>
      <c r="B8" s="64" t="s">
        <v>322</v>
      </c>
      <c r="C8" s="64" t="s">
        <v>323</v>
      </c>
    </row>
    <row r="9" spans="1:3" x14ac:dyDescent="0.2">
      <c r="A9" s="64" t="s">
        <v>324</v>
      </c>
      <c r="B9" s="64" t="s">
        <v>325</v>
      </c>
      <c r="C9" s="64" t="s">
        <v>326</v>
      </c>
    </row>
    <row r="10" spans="1:3" x14ac:dyDescent="0.2">
      <c r="A10" s="64" t="s">
        <v>327</v>
      </c>
      <c r="B10" s="64" t="s">
        <v>328</v>
      </c>
      <c r="C10" s="64" t="s">
        <v>329</v>
      </c>
    </row>
    <row r="11" spans="1:3" ht="26" x14ac:dyDescent="0.2">
      <c r="A11" s="64" t="s">
        <v>330</v>
      </c>
      <c r="B11" s="64" t="s">
        <v>331</v>
      </c>
      <c r="C11" s="64" t="s">
        <v>332</v>
      </c>
    </row>
    <row r="12" spans="1:3" x14ac:dyDescent="0.2">
      <c r="A12" s="64" t="s">
        <v>333</v>
      </c>
      <c r="B12" s="64" t="s">
        <v>334</v>
      </c>
      <c r="C12" s="64" t="s">
        <v>335</v>
      </c>
    </row>
    <row r="13" spans="1:3" ht="26" x14ac:dyDescent="0.2">
      <c r="A13" s="64" t="s">
        <v>336</v>
      </c>
      <c r="B13" s="64" t="s">
        <v>337</v>
      </c>
      <c r="C13" s="64" t="s">
        <v>338</v>
      </c>
    </row>
    <row r="14" spans="1:3" x14ac:dyDescent="0.2">
      <c r="A14" s="64" t="s">
        <v>339</v>
      </c>
      <c r="B14" s="64" t="s">
        <v>340</v>
      </c>
      <c r="C14" s="64" t="s">
        <v>341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Assumptions</vt:lpstr>
      <vt:lpstr>IS</vt:lpstr>
      <vt:lpstr>BS</vt:lpstr>
      <vt:lpstr>CF</vt:lpstr>
      <vt:lpstr>DCF</vt:lpstr>
      <vt:lpstr>Checks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SREELAL, PRANAV (PGT)</cp:lastModifiedBy>
  <cp:revision>0</cp:revision>
  <dcterms:created xsi:type="dcterms:W3CDTF">2026-09-29T20:23:41Z</dcterms:created>
  <dcterms:modified xsi:type="dcterms:W3CDTF">2026-09-29T20:38:47Z</dcterms:modified>
  <dc:language>en-US</dc:language>
</cp:coreProperties>
</file>