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chedules" sheetId="3" state="visible" r:id="rId5"/>
    <sheet name="IS" sheetId="4" state="visible" r:id="rId6"/>
    <sheet name="BS" sheetId="5" state="visible" r:id="rId7"/>
    <sheet name="CF" sheetId="6" state="visible" r:id="rId8"/>
    <sheet name="DCF" sheetId="7" state="visible" r:id="rId9"/>
    <sheet name="Check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<sst xmlns="http://schemas.openxmlformats.org/spreadsheetml/2006/main" count="583" uniqueCount="439">
  <si>
    <t xml:space="preserve">Tesla, Inc. - Integrated 3-statement model and DCF</t>
  </si>
  <si>
    <t xml:space="preserve">Portfolio piece (Models 1 &amp; 2). US$ millions, FY ends 31 December. Historicals FY2023A-FY2025A; forecast FY2026E-FY2030E. v2 built 5-Oct-2026 (adds Schedules sheet).</t>
  </si>
  <si>
    <t xml:space="preserve">Purpose</t>
  </si>
  <si>
    <t xml:space="preserve">A traceable, auditable model: income statement, balance sheet and cash flow are fully linked, and the DCF reads its cash flows straight from them. One switch (Assumptions!B3) runs Bear / Base / Bull.</t>
  </si>
  <si>
    <t xml:space="preserve">Sheet map</t>
  </si>
  <si>
    <t xml:space="preserve">Assumptions (all drivers) -&gt; Schedules (bottom-up revenue, deferred revenue roll-forward, debt schedule) -&gt; IS, BS, CF (statements) -&gt; DCF (valuation, sensitivity, reverse DCF) -&gt; Checks (ties to reported figures, balance) -&gt; Sources.</t>
  </si>
  <si>
    <t xml:space="preserve">Colour code</t>
  </si>
  <si>
    <t xml:space="preserve">Blue = hard-coded input | Black = formula | Green = link from another sheet | Yellow fill = key assumption to challenge.</t>
  </si>
  <si>
    <t xml:space="preserve">How the statements link</t>
  </si>
  <si>
    <t xml:space="preserve">Revenue and margins (Assumptions) -&gt; IS -&gt; net income -&gt; CF -&gt; cash on BS. PP&amp;E = opening + capex - D&amp;A. Equity = opening + net income + SBC. Working-capital lines are driven by days / % of revenue and feed the CF. BS balance check is on the BS and Checks sheets.</t>
  </si>
  <si>
    <t xml:space="preserve">DCF method</t>
  </si>
  <si>
    <t xml:space="preserve">UFCF = NOPAT + D&amp;A - capex - change in working capital, discounted at CAPM-based WACC (end-year), Gordon-growth terminal value, EV-to-equity bridge from the FY2025 balance sheet. SBC is not added back.</t>
  </si>
  <si>
    <t xml:space="preserve">Reading the result</t>
  </si>
  <si>
    <t xml:space="preserve">Base-case value per share (~$20) is far below the market price (~$359); even the Bull case is ~$35. At a 5.2% risk-free rate and beta ~1.85 the WACC is ~13.5%, and the market price only works if FY2030 free cash flow is ~30x the base case - the reverse DCF quantifies this. Caution: the implied terminal EV/EBITDA is only ~3-4x because FY2030E is still an investment year (capex/D&amp;A ~1.2x, EBIT margin ~9%). Treat the absolute value as a conservative floor, and extend the forecast to 10 years with a fade to steady-state margins before relying on it.</t>
  </si>
  <si>
    <t xml:space="preserve">Known limitations</t>
  </si>
  <si>
    <t xml:space="preserve">(1) 5-year explicit period is short for a business still in heavy investment; terminal year capex/D&amp;A is shown as a diagnostic. (2) Debt tranche split, rates and the deferred-revenue recognition rate are estimates built from Q1-2026 10-Q disclosures (not the full FY2025 10-K notes, which could not be downloaded) - verify against the 10-K debt and revenue notes. (2b) No explicit robotaxi / Optimus segment - only the Bull case proxies this through growth and margin. (3) Valuation date is the 31-Dec-2025 balance sheet, price is 28-Sep-2026 (9-month mismatch, not rolled forward). (4) FY2023-24 detail is limited to reported totals. (5) Share count differs by source (3.54bn diluted weighted / 3.75bn 10-K cover / 3.95bn market data) - verify against the latest 10-Q.</t>
  </si>
  <si>
    <t xml:space="preserve">Not investment advice</t>
  </si>
  <si>
    <t xml:space="preserve">Educational portfolio model built from public filings and illustrative assumptions.</t>
  </si>
  <si>
    <t xml:space="preserve">Key outputs (live)</t>
  </si>
  <si>
    <t xml:space="preserve">Active scenario</t>
  </si>
  <si>
    <t xml:space="preserve">WACC</t>
  </si>
  <si>
    <t xml:space="preserve">Enterprise value ($mm)</t>
  </si>
  <si>
    <t xml:space="preserve">Implied value per share ($)</t>
  </si>
  <si>
    <t xml:space="preserve">Current share price ($)</t>
  </si>
  <si>
    <t xml:space="preserve">Upside / (downside)</t>
  </si>
  <si>
    <t xml:space="preserve">Required / modelled FY2030E UFCF (reverse DCF)</t>
  </si>
  <si>
    <t xml:space="preserve">Model integrity</t>
  </si>
  <si>
    <t xml:space="preserve">Tesla, Inc. - Assumptions &amp; scenario control</t>
  </si>
  <si>
    <t xml:space="preserve">Blue = hard-coded input | Black = formula | Green = link from another sheet | Yellow fill = key assumption. Forecast drivers are illustrative analyst assumptions, not company guidance unless noted.</t>
  </si>
  <si>
    <t xml:space="preserve">Scenario selector (1 = Bear, 2 = Base, 3 = Bull)</t>
  </si>
  <si>
    <t xml:space="preserve">Change B3 to flow a scenario through revenue growth and segment gross margins for the whole model.</t>
  </si>
  <si>
    <t xml:space="preserve">($mm unless stated)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</si>
  <si>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</si>
  <si>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</si>
  <si>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</si>
  <si>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</si>
  <si>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</si>
  <si>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</si>
  <si>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</si>
  <si>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</si>
  <si>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Source / note</t>
  </si>
  <si>
    <t xml:space="preserve">Automotive revenue growth (%)</t>
  </si>
  <si>
    <t xml:space="preserve">CROSS-CHECK ONLY: automotive revenue is now built bottom-up on Schedules (deliveries x price).</t>
  </si>
  <si>
    <t xml:space="preserve">Bear</t>
  </si>
  <si>
    <t xml:space="preserve">Base</t>
  </si>
  <si>
    <t xml:space="preserve">Bull</t>
  </si>
  <si>
    <t xml:space="preserve">Selected (feeds model)</t>
  </si>
  <si>
    <t xml:space="preserve">Energy generation &amp; storage revenue growth (%)</t>
  </si>
  <si>
    <t xml:space="preserve">CROSS-CHECK ONLY: energy revenue is now built bottom-up on Schedules (GWh x revenue per GWh).</t>
  </si>
  <si>
    <t xml:space="preserve">Services &amp; other revenue growth (%)</t>
  </si>
  <si>
    <t xml:space="preserve">FY2025A: +19% (Supercharging, parts, insurance, FSD subscriptions).</t>
  </si>
  <si>
    <t xml:space="preserve">Automotive gross margin (%)</t>
  </si>
  <si>
    <t xml:space="preserve">FY2025A: 17.8% incl. regulatory credits (2.4% of auto rev.). Q4-25 auto GM 20.4%. OBBBA curtails credit programmes.</t>
  </si>
  <si>
    <t xml:space="preserve">Energy gross margin (%)</t>
  </si>
  <si>
    <t xml:space="preserve">FY2025A: 29.8% (computed from segment COGS).</t>
  </si>
  <si>
    <t xml:space="preserve">Services &amp; other gross margin (%)</t>
  </si>
  <si>
    <t xml:space="preserve">FY2025A: 7.4% (computed). Bull assumes software/FSD-subscription mix lifts margin.</t>
  </si>
  <si>
    <t xml:space="preserve">Operating drivers</t>
  </si>
  <si>
    <t xml:space="preserve">R&amp;D as % of revenue</t>
  </si>
  <si>
    <t xml:space="preserve">FY2025A 6.8%. Elevated on AI compute, Optimus, Cybercab (mgmt: AI spend stays elevated through 2026).</t>
  </si>
  <si>
    <t xml:space="preserve">SG&amp;A as % of revenue</t>
  </si>
  <si>
    <t xml:space="preserve">FY2025A 6.2%. Modest operating leverage assumed.</t>
  </si>
  <si>
    <t xml:space="preserve">Restructuring &amp; other ($mm)</t>
  </si>
  <si>
    <t xml:space="preserve">Non-recurring; forecast at zero.</t>
  </si>
  <si>
    <t xml:space="preserve">Stock-based compensation as % of revenue</t>
  </si>
  <si>
    <t xml:space="preserve">SBC is already embedded in R&amp;D / SG&amp;A %; this row only drives the cash-flow add-back and equity roll-forward.</t>
  </si>
  <si>
    <t xml:space="preserve">D&amp;A as % of opening PP&amp;E &amp; operating assets</t>
  </si>
  <si>
    <t xml:space="preserve">FY2025A 13.3% of opening balance. PP&amp;E line = operating lease vehicles + energy systems + PP&amp;E, net.</t>
  </si>
  <si>
    <t xml:space="preserve">Capex as % of revenue</t>
  </si>
  <si>
    <t xml:space="preserve">FY2026E ~ $21bn vs. mgmt guide "&gt;$20bn" (Q4-25 call). Fades as six new lines / compute build-out completes. Capex includes energy-system purchases (Tesla definition from Q1-25).</t>
  </si>
  <si>
    <t xml:space="preserve">Working capital &amp; other balance-sheet drivers</t>
  </si>
  <si>
    <t xml:space="preserve">Receivable days (on revenue)</t>
  </si>
  <si>
    <t xml:space="preserve">Held near FY2025A.</t>
  </si>
  <si>
    <t xml:space="preserve">Inventory days (on COGS)</t>
  </si>
  <si>
    <t xml:space="preserve">Prepaid &amp; other current assets, % of revenue</t>
  </si>
  <si>
    <t xml:space="preserve">Payable days (on COGS)</t>
  </si>
  <si>
    <t xml:space="preserve">Accrued liabilities &amp; other, % of revenue</t>
  </si>
  <si>
    <t xml:space="preserve">Deferred revenue (current + LT), % of revenue</t>
  </si>
  <si>
    <t xml:space="preserve">Output of the deferred revenue roll-forward on Schedules (no longer an input).</t>
  </si>
  <si>
    <t xml:space="preserve">Change in other long-term liabilities ($mm)</t>
  </si>
  <si>
    <t xml:space="preserve">Mostly lease liabilities and warranty/other; held flat to stay consistent with flat ROU assets.</t>
  </si>
  <si>
    <t xml:space="preserve">Change in other non-current assets ($mm)</t>
  </si>
  <si>
    <t xml:space="preserve">ROU assets, deferred tax assets and other held flat. Digital assets held flat (not marked to market).</t>
  </si>
  <si>
    <t xml:space="preserve">Financing, tax &amp; other</t>
  </si>
  <si>
    <t xml:space="preserve">Interest income yield on opening cash &amp; investments</t>
  </si>
  <si>
    <t xml:space="preserve">Computed on opening balance to avoid circularity. FY2025A 4.6%.</t>
  </si>
  <si>
    <t xml:space="preserve">Interest rate on average debt</t>
  </si>
  <si>
    <t xml:space="preserve">Output: interest by tranche / average debt (Schedules). FY2025A 4.1%. Distinct from marginal cost of debt in WACC.</t>
  </si>
  <si>
    <t xml:space="preserve">Effective tax rate</t>
  </si>
  <si>
    <t xml:space="preserve">FY2025A 27.0%. FY2023A benefited from a $5.9bn valuation-allowance release, so is not a guide.</t>
  </si>
  <si>
    <t xml:space="preserve">Net income attributable to NCI ($mm)</t>
  </si>
  <si>
    <t xml:space="preserve">FY2025A $61mm. Accrues to NCI balance; no distributions modelled.</t>
  </si>
  <si>
    <t xml:space="preserve">Net debt issuance / (repayment) ($mm)</t>
  </si>
  <si>
    <t xml:space="preserve">Output of the debt schedule (Schedules).</t>
  </si>
  <si>
    <t xml:space="preserve">Valuation inputs (used on DCF sheet)</t>
  </si>
  <si>
    <t xml:space="preserve">Risk-free rate (US 10-year Treasury)</t>
  </si>
  <si>
    <t xml:space="preserve">US 10Y yield 5.24% on 29-Sep-2026 (Trading Economics / MacroMicro). Highest since 2007 - dominates the cost of equity.</t>
  </si>
  <si>
    <t xml:space="preserve">Equity risk premium</t>
  </si>
  <si>
    <t xml:space="preserve">Analyst assumption (typical implied ERP range 4-5.5%). Test in the sensitivity table.</t>
  </si>
  <si>
    <t xml:space="preserve">Equity beta</t>
  </si>
  <si>
    <t xml:space="preserve">Published betas Sept-2026: 1.78 (TradingView), 1.84 (Google Finance), 1.91 (CNBC), 1.92 (MarketChameleon). 1.85 = rounded mid-range.</t>
  </si>
  <si>
    <t xml:space="preserve">Pre-tax cost of debt (marginal)</t>
  </si>
  <si>
    <t xml:space="preserve">Assumption: risk-free + ~30bp. Debt is &lt;1% of capital so WACC is insensitive to this.</t>
  </si>
  <si>
    <t xml:space="preserve">TSLA close 28-Sep-2026 (Yahoo Finance).</t>
  </si>
  <si>
    <t xml:space="preserve">Diluted shares outstanding (mm)</t>
  </si>
  <si>
    <t xml:space="preserve">Google Finance / CNBC shares outstanding ~3.95bn (ties to $1.41tn market cap). 10-K cover shows 3,752mm at 23-Jan-2026; Q4-25 weighted diluted 3,539mm. Sources differ - confirm from the 10-Q.</t>
  </si>
  <si>
    <t xml:space="preserve">Terminal growth rate</t>
  </si>
  <si>
    <t xml:space="preserve">Set below the risk-free rate / long-run nominal GDP.</t>
  </si>
  <si>
    <t xml:space="preserve">Tesla, Inc. - Supporting schedules</t>
  </si>
  <si>
    <t xml:space="preserve">Bottom-up revenue build, deferred revenue roll-forward and debt schedule. Blue = input | Black = formula | Green = link. Volume/price scenarios follow Assumptions!B3.</t>
  </si>
  <si>
    <t xml:space="preserve">1. Automotive revenue - bottom-up (deliveries x revenue per delivery + regulatory credits)</t>
  </si>
  <si>
    <t xml:space="preserve">Delivery growth - Bear</t>
  </si>
  <si>
    <t xml:space="preserve">Delivery growth - Base</t>
  </si>
  <si>
    <t xml:space="preserve">Delivery growth - Bull</t>
  </si>
  <si>
    <t xml:space="preserve">Delivery growth - selected</t>
  </si>
  <si>
    <t xml:space="preserve">FY2025A: -8.6% (1.64mm vs 1.79mm). Base: stabilisation then mid-single-digit volume growth. Analyst assumption.</t>
  </si>
  <si>
    <t xml:space="preserve">Core revenue per delivery growth - Bear</t>
  </si>
  <si>
    <t xml:space="preserve">Core revenue per delivery growth - Base</t>
  </si>
  <si>
    <t xml:space="preserve">Core revenue per delivery growth - Bull</t>
  </si>
  <si>
    <t xml:space="preserve">Core revenue per delivery growth - selected</t>
  </si>
  <si>
    <t xml:space="preserve">Price/mix/FSD attach on vehicle sales and leasing. Analyst assumption.</t>
  </si>
  <si>
    <t xml:space="preserve">Vehicle deliveries (units)</t>
  </si>
  <si>
    <t xml:space="preserve">Tesla quarterly production &amp; deliveries releases (FY23-FY25 totals).</t>
  </si>
  <si>
    <t xml:space="preserve">Core revenue per delivery ($, ex-regulatory credits)</t>
  </si>
  <si>
    <t xml:space="preserve">FY2025A derived: (automotive revenue - credits) / deliveries. Blended figure incl. leasing and used-vehicle/other automotive sales.</t>
  </si>
  <si>
    <t xml:space="preserve">Regulatory credit revenue ($mm)</t>
  </si>
  <si>
    <t xml:space="preserve">FY2025A $1,993mm. Forecast runs down as US credit programmes are curtailed - analyst assumption.</t>
  </si>
  <si>
    <t xml:space="preserve">Core vehicle revenue ($mm)</t>
  </si>
  <si>
    <t xml:space="preserve">Automotive revenue - bottom-up ($mm)</t>
  </si>
  <si>
    <t xml:space="preserve">Memo: top-down automotive revenue (prior growth-rate method)</t>
  </si>
  <si>
    <t xml:space="preserve">Cross-check only. Uses the selected growth rows on Assumptions (no longer drive the model).</t>
  </si>
  <si>
    <t xml:space="preserve">Bottom-up vs top-down (%)</t>
  </si>
  <si>
    <t xml:space="preserve">2. Energy storage revenue - bottom-up (GWh deployed x revenue per GWh)</t>
  </si>
  <si>
    <t xml:space="preserve">GWh deployed growth - Bear</t>
  </si>
  <si>
    <t xml:space="preserve">GWh deployed growth - Base</t>
  </si>
  <si>
    <t xml:space="preserve">GWh deployed growth - Bull</t>
  </si>
  <si>
    <t xml:space="preserve">GWh deployed growth - selected</t>
  </si>
  <si>
    <t xml:space="preserve">FY2025A: +49% (46.7 GWh). Base fades as the base grows. Analyst assumption.</t>
  </si>
  <si>
    <t xml:space="preserve">Revenue per GWh change - Bear</t>
  </si>
  <si>
    <t xml:space="preserve">Revenue per GWh change - Base</t>
  </si>
  <si>
    <t xml:space="preserve">Revenue per GWh change - Bull</t>
  </si>
  <si>
    <t xml:space="preserve">Revenue per GWh change - selected</t>
  </si>
  <si>
    <t xml:space="preserve">Revenue/GWh fell 15% in FY2025A (storage pricing competition, mix). Revenue is recognised on project timing, not on deployment date.</t>
  </si>
  <si>
    <t xml:space="preserve">Storage deployed (GWh)</t>
  </si>
  <si>
    <t xml:space="preserve">Tesla production &amp; deliveries releases.</t>
  </si>
  <si>
    <t xml:space="preserve">Revenue per GWh deployed ($mm)</t>
  </si>
  <si>
    <t xml:space="preserve">Historical = energy segment revenue / GWh (includes solar and services, so it overstates pure storage price).</t>
  </si>
  <si>
    <t xml:space="preserve">Energy revenue - bottom-up ($mm)</t>
  </si>
  <si>
    <t xml:space="preserve">Memo: top-down energy revenue (prior growth-rate method)</t>
  </si>
  <si>
    <t xml:space="preserve">Services &amp; other revenue remains top-down (Assumptions growth rate).</t>
  </si>
  <si>
    <t xml:space="preserve">3. Deferred revenue roll-forward (opening + billings - revenue recognised = closing)</t>
  </si>
  <si>
    <t xml:space="preserve">Revenue recognised, % of opening balance</t>
  </si>
  <si>
    <t xml:space="preserve">ESTIMATE. Q1-26 10-Q: c.$1.0bn recognised from the 31-Dec-25 balance in one quarter (auto $218mm + energy $781mm, as read from the filing excerpt) -&gt; roughly 55% annualised. Verify against the 10-K note.</t>
  </si>
  <si>
    <t xml:space="preserve">Billings in advance, % of total revenue</t>
  </si>
  <si>
    <t xml:space="preserve">ESTIMATE, calibrated so the balance stays near 7% of revenue (FY2025A 7.4%). Cash billed before delivery: FSD/connectivity, extended service, energy project milestones.</t>
  </si>
  <si>
    <t xml:space="preserve">Opening deferred revenue</t>
  </si>
  <si>
    <t xml:space="preserve">Plus: billings in advance</t>
  </si>
  <si>
    <t xml:space="preserve">Less: revenue recognised from deferred revenue</t>
  </si>
  <si>
    <t xml:space="preserve">Closing deferred revenue (-&gt; balance sheet)</t>
  </si>
  <si>
    <t xml:space="preserve">Current portion, % of closing balance</t>
  </si>
  <si>
    <t xml:space="preserve">FY2025A: current 3,424 / total 7,055 (balance sheet). Held constant.</t>
  </si>
  <si>
    <t xml:space="preserve">of which current</t>
  </si>
  <si>
    <t xml:space="preserve">of which non-current</t>
  </si>
  <si>
    <t xml:space="preserve">Memo: closing balance, % of revenue</t>
  </si>
  <si>
    <t xml:space="preserve">Memo: recognised from deferred, % of total revenue</t>
  </si>
  <si>
    <t xml:space="preserve">Sanity check: the recognised amount is already part of reported revenue; it is not additive.</t>
  </si>
  <si>
    <t xml:space="preserve">4. Debt schedule by tranche (principal, finance leases included)</t>
  </si>
  <si>
    <t xml:space="preserve">Opening mix: principal at 31-Mar-2026 ($mm, col B) and share (col C)</t>
  </si>
  <si>
    <t xml:space="preserve">Automotive asset-backed notes</t>
  </si>
  <si>
    <t xml:space="preserve">Q1-2026 10-Q debt table (Mar-26). The 31-Dec-25 split is NOT sourced; FY2025A balance sheet debt ($8,376mm) is allocated using this mix. Verify against the 10-K debt note.</t>
  </si>
  <si>
    <t xml:space="preserve">China working capital facility</t>
  </si>
  <si>
    <t xml:space="preserve">Energy asset-backed notes</t>
  </si>
  <si>
    <t xml:space="preserve">Cash equity debt, finance leases &amp; recourse</t>
  </si>
  <si>
    <t xml:space="preserve">Cash equity debt $118mm + finance leases $210mm + recourse $2mm.</t>
  </si>
  <si>
    <t xml:space="preserve">Total</t>
  </si>
  <si>
    <t xml:space="preserve">Amortising vehicle-loan/lease securitisations: ~45% repaid per year, replaced by new issuance (assumption).</t>
  </si>
  <si>
    <t xml:space="preserve">Opening balance</t>
  </si>
  <si>
    <t xml:space="preserve">Plus: new issuance / drawdowns</t>
  </si>
  <si>
    <t xml:space="preserve">Repayment, % of opening balance</t>
  </si>
  <si>
    <t xml:space="preserve">Less: repayments</t>
  </si>
  <si>
    <t xml:space="preserve">Closing balance</t>
  </si>
  <si>
    <t xml:space="preserve">Interest rate (on average balance)</t>
  </si>
  <si>
    <t xml:space="preserve">ASSUMPTION - verify rate range vs 10-K debt note.</t>
  </si>
  <si>
    <t xml:space="preserve">Interest expense</t>
  </si>
  <si>
    <t xml:space="preserve">Revolving facility assumed rolled over at maturity (no repayment, no new draw). Refinancing risk not modelled.</t>
  </si>
  <si>
    <t xml:space="preserve">Amortises ~12% per year; modest new issuance (assumption).</t>
  </si>
  <si>
    <t xml:space="preserve">Short-dated leases and small facilities; ~25% repaid per year.</t>
  </si>
  <si>
    <t xml:space="preserve">Total debt</t>
  </si>
  <si>
    <t xml:space="preserve">Plus: issuance</t>
  </si>
  <si>
    <t xml:space="preserve">Closing debt (-&gt; balance sheet)</t>
  </si>
  <si>
    <t xml:space="preserve">Net issuance / (repayment) (-&gt; cash flow)</t>
  </si>
  <si>
    <t xml:space="preserve">Interest expense (-&gt; income statement)</t>
  </si>
  <si>
    <t xml:space="preserve">Implied interest rate on average debt</t>
  </si>
  <si>
    <t xml:space="preserve">Memo: debt / EBITDA (x)</t>
  </si>
  <si>
    <t xml:space="preserve">Memo: EBIT / interest expense (x)</t>
  </si>
  <si>
    <t xml:space="preserve">Tesla, Inc. - Income statement</t>
  </si>
  <si>
    <t xml:space="preserve">US$ millions, fiscal year ending 31 December. FY2025A = sum of four reported quarters (ties to 10-K totals).</t>
  </si>
  <si>
    <t xml:space="preserve">Automotive revenue</t>
  </si>
  <si>
    <t xml:space="preserve">Tesla Q4/FY2025 Update (8-K Ex. 99.1) - Financial Summary (annual); incl. sales, regulatory credits ($1,993mm FY25) and leasing. Forecast = bottom-up build on Schedules (deliveries x revenue per delivery + credits).</t>
  </si>
  <si>
    <t xml:space="preserve">Energy generation &amp; storage revenue</t>
  </si>
  <si>
    <t xml:space="preserve">Tesla Q4/FY2025 Update (8-K Ex. 99.1) - Financial Summary (annual). Forecast = bottom-up build on Schedules (GWh deployed x revenue per GWh).</t>
  </si>
  <si>
    <t xml:space="preserve">Services &amp; other revenue</t>
  </si>
  <si>
    <t xml:space="preserve">Tesla Q4/FY2025 Update (8-K Ex. 99.1) - Financial Summary (annual)</t>
  </si>
  <si>
    <t xml:space="preserve">Total revenues</t>
  </si>
  <si>
    <t xml:space="preserve">Ties to reported: 96,773 / 97,690 / 94,827 (see Checks).</t>
  </si>
  <si>
    <t xml:space="preserve">Cost of revenues - Automotive</t>
  </si>
  <si>
    <t xml:space="preserve">FY25A = automotive sales COGS 56,267 + leasing COGS 898 (sum of quarters, p.28). Segment COGS not sourced for FY23-24.</t>
  </si>
  <si>
    <t xml:space="preserve">Cost of revenues - Energy</t>
  </si>
  <si>
    <t xml:space="preserve">Sum of Q1-Q4 2025 statements of operations, Tesla Q4/FY2025 Update p.28</t>
  </si>
  <si>
    <t xml:space="preserve">Cost of revenues - Services &amp; other</t>
  </si>
  <si>
    <t xml:space="preserve">Total cost of revenues</t>
  </si>
  <si>
    <t xml:space="preserve">FY23-24 derived: reported revenue less reported gross profit (17,660 / 17,450). FY25 = 77,733 (sum of segments).</t>
  </si>
  <si>
    <t xml:space="preserve">Gross profit</t>
  </si>
  <si>
    <t xml:space="preserve">Research &amp; development</t>
  </si>
  <si>
    <t xml:space="preserve">Selling, general &amp; administrative</t>
  </si>
  <si>
    <t xml:space="preserve">Restructuring &amp; other</t>
  </si>
  <si>
    <t xml:space="preserve">Total operating expenses</t>
  </si>
  <si>
    <t xml:space="preserve">FY23-24 shown in total only (line split not sourced). SBC and D&amp;A are embedded in COGS and opex.</t>
  </si>
  <si>
    <t xml:space="preserve">Operating income (EBIT)</t>
  </si>
  <si>
    <t xml:space="preserve">Ties to reported: 8,891 / 7,076 / 4,355.</t>
  </si>
  <si>
    <t xml:space="preserve">Interest income</t>
  </si>
  <si>
    <t xml:space="preserve">FY25A sum of quarters. Forecast = yield x opening cash &amp; investments.</t>
  </si>
  <si>
    <t xml:space="preserve">Forecast = sum of interest by debt tranche (Schedules). Shown as positive number and subtracted. Source: EBITDA reconciliation, Tesla Q4/FY2025 Update p.32.</t>
  </si>
  <si>
    <t xml:space="preserve">Other income / (expense), net</t>
  </si>
  <si>
    <t xml:space="preserve">FY25A includes bitcoin mark-to-market and FX losses on intercompany borrowings. Forecast zero.</t>
  </si>
  <si>
    <t xml:space="preserve">Interest income, other &amp; NCI, net (derived, FY23-24 only)</t>
  </si>
  <si>
    <t xml:space="preserve">FY23-24 balancing item = NI to common + tax - EBIT + interest expense (line detail not sourced); FY23 also includes 5.9bn tax release in tax line.</t>
  </si>
  <si>
    <t xml:space="preserve">Income before income taxes</t>
  </si>
  <si>
    <t xml:space="preserve">FY25A ties to 5,278 (sum of quarters). FY23-24 approximate (NCI embedded).</t>
  </si>
  <si>
    <t xml:space="preserve">Provision for / (benefit from) income taxes</t>
  </si>
  <si>
    <t xml:space="preserve">Source: EBITDA reconciliation, Tesla Q4/FY2025 Update p.32.</t>
  </si>
  <si>
    <t xml:space="preserve">Net income</t>
  </si>
  <si>
    <t xml:space="preserve">Less: net income attributable to NCI</t>
  </si>
  <si>
    <t xml:space="preserve">FY25A: 11+18+16+16 (quarterly).</t>
  </si>
  <si>
    <t xml:space="preserve">Net income attributable to common stockholders</t>
  </si>
  <si>
    <t xml:space="preserve">Ties to reported GAAP: 14,997 / 7,091 / 3,794.</t>
  </si>
  <si>
    <t xml:space="preserve">Memo / ratios</t>
  </si>
  <si>
    <t xml:space="preserve">Revenue growth</t>
  </si>
  <si>
    <t xml:space="preserve">Gross margin</t>
  </si>
  <si>
    <t xml:space="preserve">Operating margin</t>
  </si>
  <si>
    <t xml:space="preserve">Depreciation, amortisation &amp; impairment</t>
  </si>
  <si>
    <t xml:space="preserve">EBITDA (EBIT + D&amp;A)</t>
  </si>
  <si>
    <t xml:space="preserve">Tesla's reported "Adjusted EBITDA" (14,596 FY25) also adds back SBC; this line does not.</t>
  </si>
  <si>
    <t xml:space="preserve">EBITDA margin</t>
  </si>
  <si>
    <t xml:space="preserve">Tesla, Inc. - Balance sheet</t>
  </si>
  <si>
    <t xml:space="preserve">US$ millions, 31 December. Line items grouped for modelling; groupings shown in notes. FY2023A not sourced.</t>
  </si>
  <si>
    <t xml:space="preserve">Cash, cash equivalents &amp; investments</t>
  </si>
  <si>
    <t xml:space="preserve">Tesla 10-K FY2025 / Q4-25 Update balance sheet (p.29). FY25: cash 16,513 + ST investments 27,546. Forecast = opening + net change in cash (CF).</t>
  </si>
  <si>
    <t xml:space="preserve">Accounts receivable, net</t>
  </si>
  <si>
    <t xml:space="preserve">Tesla 10-K FY2025 / Q4-25 Update balance sheet (p.29)</t>
  </si>
  <si>
    <t xml:space="preserve">Inventory</t>
  </si>
  <si>
    <t xml:space="preserve">Prepaid expenses &amp; other current assets</t>
  </si>
  <si>
    <t xml:space="preserve">Total current assets</t>
  </si>
  <si>
    <t xml:space="preserve">PP&amp;E and operating assets, net</t>
  </si>
  <si>
    <t xml:space="preserve">Forecast = opening + capex - D&amp;A.</t>
  </si>
  <si>
    <t xml:space="preserve">Digital assets</t>
  </si>
  <si>
    <t xml:space="preserve">Tesla 10-K FY2025 / Q4-25 Update balance sheet (p.29). Treated as non-operating asset in the EV bridge.</t>
  </si>
  <si>
    <t xml:space="preserve">Other non-current assets</t>
  </si>
  <si>
    <t xml:space="preserve">Operating lease ROU assets + deferred tax assets + other: 6,027 + 6,925 + 5,045 (FY25).</t>
  </si>
  <si>
    <t xml:space="preserve">Total assets</t>
  </si>
  <si>
    <t xml:space="preserve">Ties to reported: 122,070 (FY24) / 137,806 (FY25).</t>
  </si>
  <si>
    <t xml:space="preserve">Accounts payable</t>
  </si>
  <si>
    <t xml:space="preserve">Accrued liabilities &amp; other</t>
  </si>
  <si>
    <t xml:space="preserve">Deferred revenue (current + non-current)</t>
  </si>
  <si>
    <t xml:space="preserve">FY25: 3,424 + 3,631.</t>
  </si>
  <si>
    <t xml:space="preserve">Debt &amp; finance leases (current + non-current)</t>
  </si>
  <si>
    <t xml:space="preserve">FY25: 1,640 + 6,736. Almost all non-recourse (vehicle/energy financing).</t>
  </si>
  <si>
    <t xml:space="preserve">Other long-term liabilities</t>
  </si>
  <si>
    <t xml:space="preserve">Total liabilities</t>
  </si>
  <si>
    <t xml:space="preserve">Ties to reported: 48,390 (FY24) / 54,941 (FY25).</t>
  </si>
  <si>
    <t xml:space="preserve">Total stockholders' equity</t>
  </si>
  <si>
    <t xml:space="preserve">Forecast = opening + net income to common + SBC (credited to APIC). No buybacks or dividends.</t>
  </si>
  <si>
    <t xml:space="preserve">Non-controlling &amp; redeemable NCI</t>
  </si>
  <si>
    <t xml:space="preserve">FY25: 670 + 58 redeemable; FY24: 704 + 63.</t>
  </si>
  <si>
    <t xml:space="preserve">Total equity</t>
  </si>
  <si>
    <t xml:space="preserve">Total liabilities &amp; equity</t>
  </si>
  <si>
    <t xml:space="preserve">Balance check (assets - liabilities &amp; equity) - must be zero</t>
  </si>
  <si>
    <t xml:space="preserve">Tesla, Inc. - Cash flow statement</t>
  </si>
  <si>
    <t xml:space="preserve">US$ millions. FY2025A = sum of four reported quarters. FY2023-24 only headline items sourced.</t>
  </si>
  <si>
    <t xml:space="preserve">Net income (incl. NCI)</t>
  </si>
  <si>
    <t xml:space="preserve">FY25A 3,855 ties to sum of quarterly net income (420+1,190+1,389+856).</t>
  </si>
  <si>
    <t xml:space="preserve">Source: EBITDA reconciliation p.32; forecast = rate x opening PP&amp;E.</t>
  </si>
  <si>
    <t xml:space="preserve">Stock-based compensation</t>
  </si>
  <si>
    <t xml:space="preserve">Source: EBITDA reconciliation p.32.</t>
  </si>
  <si>
    <t xml:space="preserve">Other non-cash items</t>
  </si>
  <si>
    <t xml:space="preserve">FY25A: deferred taxes 123 + digital assets loss 68 + other 1,086. Forecast zero.</t>
  </si>
  <si>
    <t xml:space="preserve">Change in working capital &amp; other operating items</t>
  </si>
  <si>
    <t xml:space="preserve">FY25A: -554-673+2,083-214 (quarterly). Forecast = sum of balance-sheet movements (AR, inventory, prepaid, AP, accruals, deferred revenue, other LT).</t>
  </si>
  <si>
    <t xml:space="preserve">Net cash from operating activities</t>
  </si>
  <si>
    <t xml:space="preserve">FY25A ties to reported 14,747 (see Checks). FY23-24 as reported.</t>
  </si>
  <si>
    <t xml:space="preserve">Capital expenditures (incl. energy systems)</t>
  </si>
  <si>
    <t xml:space="preserve">Tesla definition from Q1-25 (includes purchases of energy generation &amp; storage systems), prior years restated.</t>
  </si>
  <si>
    <t xml:space="preserve">Net (purchases) / maturities of investments &amp; other</t>
  </si>
  <si>
    <t xml:space="preserve">FY25A: -37,109 purchases + 30,158 maturities. Forecast zero because BS cash line already includes investments.</t>
  </si>
  <si>
    <t xml:space="preserve">Net cash from investing activities</t>
  </si>
  <si>
    <t xml:space="preserve">FY25A ties to reported -15,478.</t>
  </si>
  <si>
    <t xml:space="preserve">Financing activities (debt, NCI, equity plan proceeds)</t>
  </si>
  <si>
    <t xml:space="preserve">FY25A: -332-222+983+710 (quarterly). Forecast = net debt issuance from the debt schedule only.</t>
  </si>
  <si>
    <t xml:space="preserve">Effect of FX on cash</t>
  </si>
  <si>
    <t xml:space="preserve">FY25A: 40+111-17+37.</t>
  </si>
  <si>
    <t xml:space="preserve">Net change in cash</t>
  </si>
  <si>
    <t xml:space="preserve">FY25A = change in cash &amp; restricted cash (579 reported). Forecast = change in cash &amp; investments on the BS.</t>
  </si>
  <si>
    <t xml:space="preserve">Free cash flow (CFO + capex)</t>
  </si>
  <si>
    <t xml:space="preserve">Tesla's definition. Ties to reported 4,357 / 3,581 / 6,220.</t>
  </si>
  <si>
    <t xml:space="preserve">Tesla, Inc. - Discounted cash flow (unlevered)</t>
  </si>
  <si>
    <t xml:space="preserve">Linked to the three statements. End-of-year discounting from 31-Dec-2025 balance sheet date. SBC treated as a real cost (not added back).</t>
  </si>
  <si>
    <t xml:space="preserve">Revenue</t>
  </si>
  <si>
    <t xml:space="preserve">EBIT</t>
  </si>
  <si>
    <t xml:space="preserve">EBIT margin</t>
  </si>
  <si>
    <t xml:space="preserve">Less: taxes on EBIT</t>
  </si>
  <si>
    <t xml:space="preserve">NOPAT</t>
  </si>
  <si>
    <t xml:space="preserve">Plus: D&amp;A</t>
  </si>
  <si>
    <t xml:space="preserve">Less: capital expenditures</t>
  </si>
  <si>
    <t xml:space="preserve">Plus / (less): change in working capital &amp; other operating items</t>
  </si>
  <si>
    <t xml:space="preserve">Sign convention: CF sheet movement (negative = cash outflow).</t>
  </si>
  <si>
    <t xml:space="preserve">Unlevered free cash flow (UFCF)</t>
  </si>
  <si>
    <t xml:space="preserve">NOPAT + D&amp;A - capex - change in working capital. SBC not added back (conservative, avoids ignoring dilution).</t>
  </si>
  <si>
    <t xml:space="preserve">Discount period (years)</t>
  </si>
  <si>
    <t xml:space="preserve">Discount factor</t>
  </si>
  <si>
    <t xml:space="preserve">PV of UFCF</t>
  </si>
  <si>
    <t xml:space="preserve">Cost of capital (WACC)</t>
  </si>
  <si>
    <t xml:space="preserve">Risk-free rate</t>
  </si>
  <si>
    <t xml:space="preserve">Cost of equity (CAPM)</t>
  </si>
  <si>
    <t xml:space="preserve">Cost of equity dominates: debt is &lt;1% of capital at market values.</t>
  </si>
  <si>
    <t xml:space="preserve">Pre-tax cost of debt</t>
  </si>
  <si>
    <t xml:space="preserve">Tax rate (terminal year)</t>
  </si>
  <si>
    <t xml:space="preserve">After-tax cost of debt</t>
  </si>
  <si>
    <t xml:space="preserve">Share price ($)</t>
  </si>
  <si>
    <t xml:space="preserve">Diluted shares (mm)</t>
  </si>
  <si>
    <t xml:space="preserve">Market capitalisation ($mm)</t>
  </si>
  <si>
    <t xml:space="preserve">Debt &amp; finance leases ($mm, FY2025A)</t>
  </si>
  <si>
    <t xml:space="preserve">Equity weight E/(D+E)</t>
  </si>
  <si>
    <t xml:space="preserve">Debt weight D/(D+E)</t>
  </si>
  <si>
    <t xml:space="preserve">A ~13-14% WACC reflects a 5.2% risk-free rate and a beta near 1.85.</t>
  </si>
  <si>
    <t xml:space="preserve">Terminal value &amp; enterprise value</t>
  </si>
  <si>
    <t xml:space="preserve">Terminal-year UFCF (FY2030E)</t>
  </si>
  <si>
    <t xml:space="preserve">Terminal value at FY2030E (Gordon growth)</t>
  </si>
  <si>
    <t xml:space="preserve">PV of terminal value</t>
  </si>
  <si>
    <t xml:space="preserve">Sum of PV of UFCF (FY2026E-30E)</t>
  </si>
  <si>
    <t xml:space="preserve">Enterprise value</t>
  </si>
  <si>
    <t xml:space="preserve">Terminal value as % of EV</t>
  </si>
  <si>
    <t xml:space="preserve">Implied terminal EV / EBITDA (FY2030E)</t>
  </si>
  <si>
    <t xml:space="preserve">Sanity check on the perpetuity: a mature auto/energy business typically trades 6-12x EBITDA.</t>
  </si>
  <si>
    <t xml:space="preserve">Terminal-year capex / D&amp;A</t>
  </si>
  <si>
    <t xml:space="preserve">Should sit near 1.0-1.3x in steady state; much higher means terminal FCF is understated, much lower means it is overstated.</t>
  </si>
  <si>
    <t xml:space="preserve">Enterprise value to equity value per share</t>
  </si>
  <si>
    <t xml:space="preserve">Less: debt &amp; finance leases</t>
  </si>
  <si>
    <t xml:space="preserve">Plus: cash, cash equivalents &amp; investments</t>
  </si>
  <si>
    <t xml:space="preserve">Plus: digital assets</t>
  </si>
  <si>
    <t xml:space="preserve">Less: non-controlling interests</t>
  </si>
  <si>
    <t xml:space="preserve">Balance-sheet items at 31-Dec-2025. Operating leases not treated as debt (consistent with UFCF after lease cost).</t>
  </si>
  <si>
    <t xml:space="preserve">Equity value</t>
  </si>
  <si>
    <t xml:space="preserve">Upside / (downside) vs. current price</t>
  </si>
  <si>
    <t xml:space="preserve">The gap to market price is the main finding: see reverse DCF below.</t>
  </si>
  <si>
    <t xml:space="preserve">Sensitivity: implied value per share ($) - WACC (down) vs. terminal growth (across)</t>
  </si>
  <si>
    <t xml:space="preserve">WACC \ g</t>
  </si>
  <si>
    <t xml:space="preserve">Centre cell (highlighted) equals the base-case value per share above.</t>
  </si>
  <si>
    <t xml:space="preserve">Reverse DCF: what the market price implies</t>
  </si>
  <si>
    <t xml:space="preserve">Implied market EV ($mm)</t>
  </si>
  <si>
    <t xml:space="preserve">Market cap + debt - cash - digital assets + NCI.</t>
  </si>
  <si>
    <t xml:space="preserve">Less: PV of modelled FY2026E-30E UFCF</t>
  </si>
  <si>
    <t xml:space="preserve">PV of terminal value the market requires</t>
  </si>
  <si>
    <t xml:space="preserve">Required terminal value at FY2030E</t>
  </si>
  <si>
    <t xml:space="preserve">Required FY2030E UFCF at model WACC and g</t>
  </si>
  <si>
    <t xml:space="preserve">Modelled FY2030E UFCF</t>
  </si>
  <si>
    <t xml:space="preserve">Required / modelled terminal UFCF</t>
  </si>
  <si>
    <t xml:space="preserve">How many times higher FY2030E free cash flow must be for today's price to be justified at this WACC - the robotaxi / Optimus optionality the market is paying for.</t>
  </si>
  <si>
    <t xml:space="preserve">Model integrity checks</t>
  </si>
  <si>
    <t xml:space="preserve">Differences should be zero. Reported figures are hard-coded inputs from Tesla filings; tolerance 0.5.</t>
  </si>
  <si>
    <t xml:space="preserve">Check ($mm)</t>
  </si>
  <si>
    <t xml:space="preserve">Reported figures (source)</t>
  </si>
  <si>
    <t xml:space="preserve">Reported total revenues</t>
  </si>
  <si>
    <t xml:space="preserve">Reported gross profit</t>
  </si>
  <si>
    <t xml:space="preserve">Reported income from operations</t>
  </si>
  <si>
    <t xml:space="preserve">Reported net income to common stockholders (GAAP)</t>
  </si>
  <si>
    <t xml:space="preserve">Reported operating cash flow</t>
  </si>
  <si>
    <t xml:space="preserve">Reported free cash flow</t>
  </si>
  <si>
    <t xml:space="preserve">Reported investing cash flow (FY2025)</t>
  </si>
  <si>
    <t xml:space="preserve">Sum of quarters, Q4/FY2025 Update p.30</t>
  </si>
  <si>
    <t xml:space="preserve">Reported net change in cash &amp; restricted cash (FY2025)</t>
  </si>
  <si>
    <t xml:space="preserve">Sum of quarters: 213-515+2,849-1,968</t>
  </si>
  <si>
    <t xml:space="preserve">Reported total assets</t>
  </si>
  <si>
    <t xml:space="preserve">Balance sheet, Q4/FY2025 Update p.29</t>
  </si>
  <si>
    <t xml:space="preserve">Reported total liabilities</t>
  </si>
  <si>
    <t xml:space="preserve">Differences (model - reported)</t>
  </si>
  <si>
    <t xml:space="preserve">Operating income</t>
  </si>
  <si>
    <t xml:space="preserve">Net income to common</t>
  </si>
  <si>
    <t xml:space="preserve">Operating cash flow</t>
  </si>
  <si>
    <t xml:space="preserve">Free cash flow</t>
  </si>
  <si>
    <t xml:space="preserve">Investing cash flow (FY2025)</t>
  </si>
  <si>
    <t xml:space="preserve">Net change in cash (FY2025)</t>
  </si>
  <si>
    <t xml:space="preserve">Balance sheet balances (assets - liabilities &amp; equity)</t>
  </si>
  <si>
    <t xml:space="preserve">Forecast: change in BS cash - CF net change in cash</t>
  </si>
  <si>
    <t xml:space="preserve">Sensitivity centre cell - DCF value per share</t>
  </si>
  <si>
    <t xml:space="preserve">Debt tranches (FY2025A) - balance sheet debt</t>
  </si>
  <si>
    <t xml:space="preserve">Debt schedule closing - balance sheet debt</t>
  </si>
  <si>
    <t xml:space="preserve">Deferred revenue roll-forward closing - balance sheet</t>
  </si>
  <si>
    <t xml:space="preserve">Deferred revenue opening FY2026E - FY2025A balance sheet</t>
  </si>
  <si>
    <t xml:space="preserve">Segment build: auto + energy + services - total revenue</t>
  </si>
  <si>
    <t xml:space="preserve">Debt mix shares sum to 100%</t>
  </si>
  <si>
    <t xml:space="preserve">OVERALL STATUS</t>
  </si>
  <si>
    <t xml:space="preserve">Sources &amp; data log</t>
  </si>
  <si>
    <t xml:space="preserve">Every hard-coded historical number and market input in the model traces to one of these.</t>
  </si>
  <si>
    <t xml:space="preserve">Item</t>
  </si>
  <si>
    <t xml:space="preserve">Used for</t>
  </si>
  <si>
    <t xml:space="preserve">Source</t>
  </si>
  <si>
    <t xml:space="preserve">Tesla Q4 &amp; FY2025 Update (8-K Ex. 99.1)</t>
  </si>
  <si>
    <t xml:space="preserve">FY2021-25 annual summary; Q4-24 to Q4-25 quarterly income statement, balance sheet, cash flow, non-GAAP reconciliations</t>
  </si>
  <si>
    <t xml:space="preserve">https://www.sec.gov/Archives/edgar/data/1318605/000162828026003837/exhibit991.htm</t>
  </si>
  <si>
    <t xml:space="preserve">Tesla Form 10-K, FY2025</t>
  </si>
  <si>
    <t xml:space="preserve">Balance sheet detail (cash vs. short-term investments), shares outstanding, debt principal ($8.18bn)</t>
  </si>
  <si>
    <t xml:space="preserve">https://www.sec.gov/Archives/edgar/data/1318605/000162828026003952/tsla-20251231.htm</t>
  </si>
  <si>
    <t xml:space="preserve">FY2025 quarterly aggregation</t>
  </si>
  <si>
    <t xml:space="preserve">FY2025A income statement and cash flow lines are the sum of Q1-Q4 2025 reported quarters; totals tie to the 10-K/Update annual figures (see Checks)</t>
  </si>
  <si>
    <t xml:space="preserve">Same as row 1</t>
  </si>
  <si>
    <t xml:space="preserve">FY2023-24 lines</t>
  </si>
  <si>
    <t xml:space="preserve">Reported totals only (revenue by segment, gross profit, opex, EBIT, interest expense, tax, net income, D&amp;A, SBC, CFO, capex). Segment COGS and detailed opex not sourced.</t>
  </si>
  <si>
    <t xml:space="preserve">Row 1, annual summary and reconciliation tables</t>
  </si>
  <si>
    <t xml:space="preserve">US 10-year Treasury yield 5.24%</t>
  </si>
  <si>
    <t xml:space="preserve">Risk-free rate (29-Sep-2026)</t>
  </si>
  <si>
    <t xml:space="preserve">https://tradingeconomics.com/united-states/government-bond-yield ; https://en.macromicro.me/series/354/10year-bond-yield</t>
  </si>
  <si>
    <t xml:space="preserve">TSLA share price $358.54</t>
  </si>
  <si>
    <t xml:space="preserve">Market capitalisation, WACC weights, upside/downside (close 28-Sep-2026)</t>
  </si>
  <si>
    <t xml:space="preserve">https://finance.yahoo.com/quote/TSLA/history/</t>
  </si>
  <si>
    <t xml:space="preserve">TSLA beta 1.78-1.92</t>
  </si>
  <si>
    <t xml:space="preserve">CAPM; 1.85 chosen</t>
  </si>
  <si>
    <t xml:space="preserve">https://www.tradingview.com/symbols/NASDAQ-TSLA/ ; https://www.cnbc.com/quotes/TSLA ; https://marketchameleon.com/Overview/TSLA</t>
  </si>
  <si>
    <t xml:space="preserve">Shares outstanding ~3.95bn</t>
  </si>
  <si>
    <t xml:space="preserve">Per-share value and market cap</t>
  </si>
  <si>
    <t xml:space="preserve">https://www.cnbc.com/quotes/TSLA ; https://www.google.com/finance/beta/quote/TSLA:NASDAQ</t>
  </si>
  <si>
    <t xml:space="preserve">2026 capex guidance "&gt;$20bn"</t>
  </si>
  <si>
    <t xml:space="preserve">FY2026E capex calibration</t>
  </si>
  <si>
    <t xml:space="preserve">https://quartr.com/events/tesla-inc-tsla-q4-2025_3ek6D0lv ; https://www.fool.com/earnings/call-transcripts/2026/01/28/tesla-tsla-q4-2025-earnings-call-transcript/</t>
  </si>
  <si>
    <t xml:space="preserve">Tesla Form 10-Q, Q1 2026</t>
  </si>
  <si>
    <t xml:space="preserve">Debt by instrument at 31-Mar-2026 (used as the tranche mix), deferred revenue commentary</t>
  </si>
  <si>
    <t xml:space="preserve">https://www.sec.gov/Archives/edgar/data/1318605/000162828026026673/tsla-20260331.htm ; https://ir.tesla.com/_flysystem/s3/sec/000162828026026673/tsla-20260331-gen.pdf</t>
  </si>
  <si>
    <t xml:space="preserve">Analyst assumptions</t>
  </si>
  <si>
    <t xml:space="preserve">ERP 4.5%, terminal growth 3.0%, all forecast drivers on Assumptions sheet</t>
  </si>
  <si>
    <t xml:space="preserve">Author judgement - flagged blue on Assumptions; no company guidance implied beyond 2026 capex.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</si>
</sst>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.00%"/>
    <numFmt numFmtId="167" formatCode="#,##0;\(#,##0\);\-"/>
    <numFmt numFmtId="168" formatCode="\$#,##0.00"/>
    <numFmt numFmtId="169" formatCode="0.0%;\(0.0%\)"/>
    <numFmt numFmtId="170" formatCode="0.0\x"/>
    <numFmt numFmtId="171" formatCode="0"/>
    <numFmt numFmtId="172" formatCode="0.0%;\(0.0%\);\-"/>
    <numFmt numFmtId="173" formatCode="0.0"/>
    <numFmt numFmtId="174" formatCode="0.00"/>
    <numFmt numFmtId="175" formatCode="0.000"/>
    <numFmt numFmtId="17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33.75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91.5" hidden="false" customHeight="true" outlineLevel="0" collapsed="false">
      <c r="A9" s="3" t="s">
        <v>12</v>
      </c>
      <c r="B9" s="4" t="s">
        <v>13</v>
      </c>
    </row>
    <row r="10" customFormat="false" ht="91.5" hidden="false" customHeight="true" outlineLevel="0" collapsed="false">
      <c r="A10" s="3" t="s">
        <v>14</v>
      </c>
      <c r="B10" s="4" t="s">
        <v>15</v>
      </c>
    </row>
    <row r="11" customFormat="false" ht="33.75" hidden="false" customHeight="tru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6" t="s">
        <v>19</v>
      </c>
      <c r="B14" s="7" t="str">
        <f aca="false">Assumptions!B4</f>
        <v>Base</v>
      </c>
    </row>
    <row r="15" customFormat="false" ht="15" hidden="false" customHeight="false" outlineLevel="0" collapsed="false">
      <c r="A15" s="6" t="s">
        <v>20</v>
      </c>
      <c r="B15" s="8" t="n">
        <f aca="false">DCF!B34</f>
        <v>0.13509497444562</v>
      </c>
    </row>
    <row r="16" customFormat="false" ht="15" hidden="false" customHeight="false" outlineLevel="0" collapsed="false">
      <c r="A16" s="6" t="s">
        <v>21</v>
      </c>
      <c r="B16" s="9" t="n">
        <f aca="false">DCF!B42</f>
        <v>40678.173939338</v>
      </c>
    </row>
    <row r="17" customFormat="false" ht="15" hidden="false" customHeight="false" outlineLevel="0" collapsed="false">
      <c r="A17" s="6" t="s">
        <v>22</v>
      </c>
      <c r="B17" s="10" t="n">
        <f aca="false">DCF!B55</f>
        <v>19.402828845402</v>
      </c>
    </row>
    <row r="18" customFormat="false" ht="15" hidden="false" customHeight="false" outlineLevel="0" collapsed="false">
      <c r="A18" s="6" t="s">
        <v>23</v>
      </c>
      <c r="B18" s="10" t="n">
        <f aca="false">DCF!B56</f>
        <v>358.54</v>
      </c>
    </row>
    <row r="19" customFormat="false" ht="15" hidden="false" customHeight="false" outlineLevel="0" collapsed="false">
      <c r="A19" s="6" t="s">
        <v>24</v>
      </c>
      <c r="B19" s="11" t="n">
        <f aca="false">DCF!B57</f>
        <v>-0.945883781878167</v>
      </c>
    </row>
    <row r="20" customFormat="false" ht="15" hidden="false" customHeight="false" outlineLevel="0" collapsed="false">
      <c r="A20" s="6" t="s">
        <v>25</v>
      </c>
      <c r="B20" s="12" t="n">
        <f aca="false">DCF!B75</f>
        <v>32.1747591074894</v>
      </c>
    </row>
    <row r="21" customFormat="false" ht="15" hidden="false" customHeight="false" outlineLevel="0" collapsed="false">
      <c r="A21" s="6" t="s">
        <v>26</v>
      </c>
      <c r="B21" s="7" t="str">
        <f aca="false">Checks!B38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5" t="s">
        <v>29</v>
      </c>
      <c r="B3" s="14" t="n">
        <v>2</v>
      </c>
      <c r="J3" s="2" t="s">
        <v>30</v>
      </c>
    </row>
    <row r="4" customFormat="false" ht="15" hidden="false" customHeight="false" outlineLevel="0" collapsed="false">
      <c r="A4" s="6" t="s">
        <v>19</v>
      </c>
      <c r="B4" s="15" t="str">
        <f aca="false">CHOOSE(B3,"Bear","Base","Bull")</f>
        <v>Base</v>
      </c>
    </row>
    <row r="6" customFormat="false" ht="15" hidden="false" customHeight="false" outlineLevel="0" collapsed="false">
      <c r="A6" s="16" t="s">
        <v>31</v>
      </c>
      <c r="B6" s="17" t="s">
        <v>32</v>
      </c>
      <c r="C6" s="17" t="s">
        <v>33</v>
      </c>
      <c r="D6" s="17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6" t="s">
        <v>40</v>
      </c>
    </row>
    <row r="8" customFormat="false" ht="15" hidden="false" customHeight="false" outlineLevel="0" collapsed="false">
      <c r="A8" s="18" t="s">
        <v>41</v>
      </c>
      <c r="B8" s="19"/>
      <c r="C8" s="19"/>
      <c r="D8" s="19"/>
      <c r="E8" s="19"/>
      <c r="F8" s="19"/>
      <c r="G8" s="19"/>
      <c r="H8" s="19"/>
      <c r="I8" s="19"/>
      <c r="J8" s="20" t="s">
        <v>42</v>
      </c>
    </row>
    <row r="9" customFormat="false" ht="15" hidden="false" customHeight="false" outlineLevel="0" collapsed="false">
      <c r="A9" s="21" t="s">
        <v>43</v>
      </c>
      <c r="E9" s="22" t="n">
        <v>-0.04</v>
      </c>
      <c r="F9" s="22" t="n">
        <v>0</v>
      </c>
      <c r="G9" s="22" t="n">
        <v>0.02</v>
      </c>
      <c r="H9" s="22" t="n">
        <v>0.02</v>
      </c>
      <c r="I9" s="22" t="n">
        <v>0.02</v>
      </c>
    </row>
    <row r="10" customFormat="false" ht="15" hidden="false" customHeight="false" outlineLevel="0" collapsed="false">
      <c r="A10" s="21" t="s">
        <v>44</v>
      </c>
      <c r="E10" s="22" t="n">
        <v>0.02</v>
      </c>
      <c r="F10" s="22" t="n">
        <v>0.05</v>
      </c>
      <c r="G10" s="22" t="n">
        <v>0.06</v>
      </c>
      <c r="H10" s="22" t="n">
        <v>0.05</v>
      </c>
      <c r="I10" s="22" t="n">
        <v>0.04</v>
      </c>
    </row>
    <row r="11" customFormat="false" ht="15" hidden="false" customHeight="false" outlineLevel="0" collapsed="false">
      <c r="A11" s="21" t="s">
        <v>45</v>
      </c>
      <c r="E11" s="22" t="n">
        <v>0.08</v>
      </c>
      <c r="F11" s="22" t="n">
        <v>0.12</v>
      </c>
      <c r="G11" s="22" t="n">
        <v>0.14</v>
      </c>
      <c r="H11" s="22" t="n">
        <v>0.12</v>
      </c>
      <c r="I11" s="22" t="n">
        <v>0.1</v>
      </c>
    </row>
    <row r="12" customFormat="false" ht="15" hidden="false" customHeight="false" outlineLevel="0" collapsed="false">
      <c r="A12" s="23" t="s">
        <v>46</v>
      </c>
      <c r="B12" s="24"/>
      <c r="C12" s="25" t="n">
        <f aca="false">IS!C6/IS!B6-1</f>
        <v>-0.06490008371856</v>
      </c>
      <c r="D12" s="25" t="n">
        <f aca="false">IS!D6/IS!C6-1</f>
        <v>-0.0978850395744129</v>
      </c>
      <c r="E12" s="25" t="n">
        <f aca="false">CHOOSE($B$3,E9,E10,E11)</f>
        <v>0.02</v>
      </c>
      <c r="F12" s="25" t="n">
        <f aca="false">CHOOSE($B$3,F9,F10,F11)</f>
        <v>0.05</v>
      </c>
      <c r="G12" s="25" t="n">
        <f aca="false">CHOOSE($B$3,G9,G10,G11)</f>
        <v>0.06</v>
      </c>
      <c r="H12" s="25" t="n">
        <f aca="false">CHOOSE($B$3,H9,H10,H11)</f>
        <v>0.05</v>
      </c>
      <c r="I12" s="25" t="n">
        <f aca="false">CHOOSE($B$3,I9,I10,I11)</f>
        <v>0.04</v>
      </c>
    </row>
    <row r="14" customFormat="false" ht="15" hidden="false" customHeight="false" outlineLevel="0" collapsed="false">
      <c r="A14" s="18" t="s">
        <v>47</v>
      </c>
      <c r="B14" s="19"/>
      <c r="C14" s="19"/>
      <c r="D14" s="19"/>
      <c r="E14" s="19"/>
      <c r="F14" s="19"/>
      <c r="G14" s="19"/>
      <c r="H14" s="19"/>
      <c r="I14" s="19"/>
      <c r="J14" s="20" t="s">
        <v>48</v>
      </c>
    </row>
    <row r="15" customFormat="false" ht="15" hidden="false" customHeight="false" outlineLevel="0" collapsed="false">
      <c r="A15" s="21" t="s">
        <v>43</v>
      </c>
      <c r="E15" s="22" t="n">
        <v>0.12</v>
      </c>
      <c r="F15" s="22" t="n">
        <v>0.1</v>
      </c>
      <c r="G15" s="22" t="n">
        <v>0.08</v>
      </c>
      <c r="H15" s="22" t="n">
        <v>0.06</v>
      </c>
      <c r="I15" s="22" t="n">
        <v>0.05</v>
      </c>
    </row>
    <row r="16" customFormat="false" ht="15" hidden="false" customHeight="false" outlineLevel="0" collapsed="false">
      <c r="A16" s="21" t="s">
        <v>44</v>
      </c>
      <c r="E16" s="22" t="n">
        <v>0.25</v>
      </c>
      <c r="F16" s="22" t="n">
        <v>0.22</v>
      </c>
      <c r="G16" s="22" t="n">
        <v>0.18</v>
      </c>
      <c r="H16" s="22" t="n">
        <v>0.15</v>
      </c>
      <c r="I16" s="22" t="n">
        <v>0.12</v>
      </c>
    </row>
    <row r="17" customFormat="false" ht="15" hidden="false" customHeight="false" outlineLevel="0" collapsed="false">
      <c r="A17" s="21" t="s">
        <v>45</v>
      </c>
      <c r="E17" s="22" t="n">
        <v>0.35</v>
      </c>
      <c r="F17" s="22" t="n">
        <v>0.3</v>
      </c>
      <c r="G17" s="22" t="n">
        <v>0.25</v>
      </c>
      <c r="H17" s="22" t="n">
        <v>0.2</v>
      </c>
      <c r="I17" s="22" t="n">
        <v>0.15</v>
      </c>
    </row>
    <row r="18" customFormat="false" ht="15" hidden="false" customHeight="false" outlineLevel="0" collapsed="false">
      <c r="A18" s="23" t="s">
        <v>46</v>
      </c>
      <c r="B18" s="24"/>
      <c r="C18" s="25" t="n">
        <f aca="false">IS!C7/IS!B7-1</f>
        <v>0.671251035625518</v>
      </c>
      <c r="D18" s="25" t="n">
        <f aca="false">IS!D7/IS!C7-1</f>
        <v>0.266210588935158</v>
      </c>
      <c r="E18" s="25" t="n">
        <f aca="false">CHOOSE($B$3,E15,E16,E17)</f>
        <v>0.25</v>
      </c>
      <c r="F18" s="25" t="n">
        <f aca="false">CHOOSE($B$3,F15,F16,F17)</f>
        <v>0.22</v>
      </c>
      <c r="G18" s="25" t="n">
        <f aca="false">CHOOSE($B$3,G15,G16,G17)</f>
        <v>0.18</v>
      </c>
      <c r="H18" s="25" t="n">
        <f aca="false">CHOOSE($B$3,H15,H16,H17)</f>
        <v>0.15</v>
      </c>
      <c r="I18" s="25" t="n">
        <f aca="false">CHOOSE($B$3,I15,I16,I17)</f>
        <v>0.12</v>
      </c>
    </row>
    <row r="20" customFormat="false" ht="15" hidden="false" customHeight="false" outlineLevel="0" collapsed="false">
      <c r="A20" s="18" t="s">
        <v>49</v>
      </c>
      <c r="B20" s="19"/>
      <c r="C20" s="19"/>
      <c r="D20" s="19"/>
      <c r="E20" s="19"/>
      <c r="F20" s="19"/>
      <c r="G20" s="19"/>
      <c r="H20" s="19"/>
      <c r="I20" s="19"/>
      <c r="J20" s="20" t="s">
        <v>50</v>
      </c>
    </row>
    <row r="21" customFormat="false" ht="15" hidden="false" customHeight="false" outlineLevel="0" collapsed="false">
      <c r="A21" s="21" t="s">
        <v>43</v>
      </c>
      <c r="E21" s="22" t="n">
        <v>0.08</v>
      </c>
      <c r="F21" s="22" t="n">
        <v>0.07</v>
      </c>
      <c r="G21" s="22" t="n">
        <v>0.06</v>
      </c>
      <c r="H21" s="22" t="n">
        <v>0.05</v>
      </c>
      <c r="I21" s="22" t="n">
        <v>0.04</v>
      </c>
    </row>
    <row r="22" customFormat="false" ht="15" hidden="false" customHeight="false" outlineLevel="0" collapsed="false">
      <c r="A22" s="21" t="s">
        <v>44</v>
      </c>
      <c r="E22" s="22" t="n">
        <v>0.18</v>
      </c>
      <c r="F22" s="22" t="n">
        <v>0.16</v>
      </c>
      <c r="G22" s="22" t="n">
        <v>0.14</v>
      </c>
      <c r="H22" s="22" t="n">
        <v>0.12</v>
      </c>
      <c r="I22" s="22" t="n">
        <v>0.1</v>
      </c>
    </row>
    <row r="23" customFormat="false" ht="15" hidden="false" customHeight="false" outlineLevel="0" collapsed="false">
      <c r="A23" s="21" t="s">
        <v>45</v>
      </c>
      <c r="E23" s="22" t="n">
        <v>0.25</v>
      </c>
      <c r="F23" s="22" t="n">
        <v>0.24</v>
      </c>
      <c r="G23" s="22" t="n">
        <v>0.22</v>
      </c>
      <c r="H23" s="22" t="n">
        <v>0.2</v>
      </c>
      <c r="I23" s="22" t="n">
        <v>0.18</v>
      </c>
    </row>
    <row r="24" customFormat="false" ht="15" hidden="false" customHeight="false" outlineLevel="0" collapsed="false">
      <c r="A24" s="23" t="s">
        <v>46</v>
      </c>
      <c r="B24" s="24"/>
      <c r="C24" s="25" t="n">
        <f aca="false">IS!C8/IS!B8-1</f>
        <v>0.26625796369756</v>
      </c>
      <c r="D24" s="25" t="n">
        <f aca="false">IS!D8/IS!C8-1</f>
        <v>0.189481678374786</v>
      </c>
      <c r="E24" s="25" t="n">
        <f aca="false">CHOOSE($B$3,E21,E22,E23)</f>
        <v>0.18</v>
      </c>
      <c r="F24" s="25" t="n">
        <f aca="false">CHOOSE($B$3,F21,F22,F23)</f>
        <v>0.16</v>
      </c>
      <c r="G24" s="25" t="n">
        <f aca="false">CHOOSE($B$3,G21,G22,G23)</f>
        <v>0.14</v>
      </c>
      <c r="H24" s="25" t="n">
        <f aca="false">CHOOSE($B$3,H21,H22,H23)</f>
        <v>0.12</v>
      </c>
      <c r="I24" s="25" t="n">
        <f aca="false">CHOOSE($B$3,I21,I22,I23)</f>
        <v>0.1</v>
      </c>
    </row>
    <row r="26" customFormat="false" ht="15" hidden="false" customHeight="false" outlineLevel="0" collapsed="false">
      <c r="A26" s="18" t="s">
        <v>51</v>
      </c>
      <c r="B26" s="19"/>
      <c r="C26" s="19"/>
      <c r="D26" s="19"/>
      <c r="E26" s="19"/>
      <c r="F26" s="19"/>
      <c r="G26" s="19"/>
      <c r="H26" s="19"/>
      <c r="I26" s="19"/>
      <c r="J26" s="20" t="s">
        <v>52</v>
      </c>
    </row>
    <row r="27" customFormat="false" ht="15" hidden="false" customHeight="false" outlineLevel="0" collapsed="false">
      <c r="A27" s="21" t="s">
        <v>43</v>
      </c>
      <c r="E27" s="22" t="n">
        <v>0.16</v>
      </c>
      <c r="F27" s="22" t="n">
        <v>0.16</v>
      </c>
      <c r="G27" s="22" t="n">
        <v>0.165</v>
      </c>
      <c r="H27" s="22" t="n">
        <v>0.165</v>
      </c>
      <c r="I27" s="22" t="n">
        <v>0.17</v>
      </c>
    </row>
    <row r="28" customFormat="false" ht="15" hidden="false" customHeight="false" outlineLevel="0" collapsed="false">
      <c r="A28" s="21" t="s">
        <v>44</v>
      </c>
      <c r="E28" s="22" t="n">
        <v>0.18</v>
      </c>
      <c r="F28" s="22" t="n">
        <v>0.185</v>
      </c>
      <c r="G28" s="22" t="n">
        <v>0.19</v>
      </c>
      <c r="H28" s="22" t="n">
        <v>0.195</v>
      </c>
      <c r="I28" s="22" t="n">
        <v>0.2</v>
      </c>
    </row>
    <row r="29" customFormat="false" ht="15" hidden="false" customHeight="false" outlineLevel="0" collapsed="false">
      <c r="A29" s="21" t="s">
        <v>45</v>
      </c>
      <c r="E29" s="22" t="n">
        <v>0.195</v>
      </c>
      <c r="F29" s="22" t="n">
        <v>0.21</v>
      </c>
      <c r="G29" s="22" t="n">
        <v>0.225</v>
      </c>
      <c r="H29" s="22" t="n">
        <v>0.24</v>
      </c>
      <c r="I29" s="22" t="n">
        <v>0.25</v>
      </c>
    </row>
    <row r="30" customFormat="false" ht="15" hidden="false" customHeight="false" outlineLevel="0" collapsed="false">
      <c r="A30" s="23" t="s">
        <v>46</v>
      </c>
      <c r="B30" s="24"/>
      <c r="C30" s="24"/>
      <c r="D30" s="25" t="n">
        <f aca="false">1-IS!D11/IS!D6</f>
        <v>0.177789603889193</v>
      </c>
      <c r="E30" s="25" t="n">
        <f aca="false">CHOOSE($B$3,E27,E28,E29)</f>
        <v>0.18</v>
      </c>
      <c r="F30" s="25" t="n">
        <f aca="false">CHOOSE($B$3,F27,F28,F29)</f>
        <v>0.185</v>
      </c>
      <c r="G30" s="25" t="n">
        <f aca="false">CHOOSE($B$3,G27,G28,G29)</f>
        <v>0.19</v>
      </c>
      <c r="H30" s="25" t="n">
        <f aca="false">CHOOSE($B$3,H27,H28,H29)</f>
        <v>0.195</v>
      </c>
      <c r="I30" s="25" t="n">
        <f aca="false">CHOOSE($B$3,I27,I28,I29)</f>
        <v>0.2</v>
      </c>
    </row>
    <row r="32" customFormat="false" ht="15" hidden="false" customHeight="false" outlineLevel="0" collapsed="false">
      <c r="A32" s="18" t="s">
        <v>53</v>
      </c>
      <c r="B32" s="19"/>
      <c r="C32" s="19"/>
      <c r="D32" s="19"/>
      <c r="E32" s="19"/>
      <c r="F32" s="19"/>
      <c r="G32" s="19"/>
      <c r="H32" s="19"/>
      <c r="I32" s="19"/>
      <c r="J32" s="20" t="s">
        <v>54</v>
      </c>
    </row>
    <row r="33" customFormat="false" ht="15" hidden="false" customHeight="false" outlineLevel="0" collapsed="false">
      <c r="A33" s="21" t="s">
        <v>43</v>
      </c>
      <c r="E33" s="22" t="n">
        <v>0.27</v>
      </c>
      <c r="F33" s="22" t="n">
        <v>0.26</v>
      </c>
      <c r="G33" s="22" t="n">
        <v>0.25</v>
      </c>
      <c r="H33" s="22" t="n">
        <v>0.25</v>
      </c>
      <c r="I33" s="22" t="n">
        <v>0.25</v>
      </c>
    </row>
    <row r="34" customFormat="false" ht="15" hidden="false" customHeight="false" outlineLevel="0" collapsed="false">
      <c r="A34" s="21" t="s">
        <v>44</v>
      </c>
      <c r="E34" s="22" t="n">
        <v>0.3</v>
      </c>
      <c r="F34" s="22" t="n">
        <v>0.3</v>
      </c>
      <c r="G34" s="22" t="n">
        <v>0.3</v>
      </c>
      <c r="H34" s="22" t="n">
        <v>0.295</v>
      </c>
      <c r="I34" s="22" t="n">
        <v>0.29</v>
      </c>
    </row>
    <row r="35" customFormat="false" ht="15" hidden="false" customHeight="false" outlineLevel="0" collapsed="false">
      <c r="A35" s="21" t="s">
        <v>45</v>
      </c>
      <c r="E35" s="22" t="n">
        <v>0.31</v>
      </c>
      <c r="F35" s="22" t="n">
        <v>0.32</v>
      </c>
      <c r="G35" s="22" t="n">
        <v>0.32</v>
      </c>
      <c r="H35" s="22" t="n">
        <v>0.32</v>
      </c>
      <c r="I35" s="22" t="n">
        <v>0.32</v>
      </c>
    </row>
    <row r="36" customFormat="false" ht="15" hidden="false" customHeight="false" outlineLevel="0" collapsed="false">
      <c r="A36" s="23" t="s">
        <v>46</v>
      </c>
      <c r="B36" s="24"/>
      <c r="C36" s="24"/>
      <c r="D36" s="25" t="n">
        <f aca="false">1-IS!D12/IS!D7</f>
        <v>0.297705739566205</v>
      </c>
      <c r="E36" s="25" t="n">
        <f aca="false">CHOOSE($B$3,E33,E34,E35)</f>
        <v>0.3</v>
      </c>
      <c r="F36" s="25" t="n">
        <f aca="false">CHOOSE($B$3,F33,F34,F35)</f>
        <v>0.3</v>
      </c>
      <c r="G36" s="25" t="n">
        <f aca="false">CHOOSE($B$3,G33,G34,G35)</f>
        <v>0.3</v>
      </c>
      <c r="H36" s="25" t="n">
        <f aca="false">CHOOSE($B$3,H33,H34,H35)</f>
        <v>0.295</v>
      </c>
      <c r="I36" s="25" t="n">
        <f aca="false">CHOOSE($B$3,I33,I34,I35)</f>
        <v>0.29</v>
      </c>
    </row>
    <row r="38" customFormat="false" ht="15" hidden="false" customHeight="false" outlineLevel="0" collapsed="false">
      <c r="A38" s="18" t="s">
        <v>55</v>
      </c>
      <c r="B38" s="19"/>
      <c r="C38" s="19"/>
      <c r="D38" s="19"/>
      <c r="E38" s="19"/>
      <c r="F38" s="19"/>
      <c r="G38" s="19"/>
      <c r="H38" s="19"/>
      <c r="I38" s="19"/>
      <c r="J38" s="20" t="s">
        <v>56</v>
      </c>
    </row>
    <row r="39" customFormat="false" ht="15" hidden="false" customHeight="false" outlineLevel="0" collapsed="false">
      <c r="A39" s="21" t="s">
        <v>43</v>
      </c>
      <c r="E39" s="22" t="n">
        <v>0.07</v>
      </c>
      <c r="F39" s="22" t="n">
        <v>0.07</v>
      </c>
      <c r="G39" s="22" t="n">
        <v>0.07</v>
      </c>
      <c r="H39" s="22" t="n">
        <v>0.07</v>
      </c>
      <c r="I39" s="22" t="n">
        <v>0.07</v>
      </c>
    </row>
    <row r="40" customFormat="false" ht="15" hidden="false" customHeight="false" outlineLevel="0" collapsed="false">
      <c r="A40" s="21" t="s">
        <v>44</v>
      </c>
      <c r="E40" s="22" t="n">
        <v>0.08</v>
      </c>
      <c r="F40" s="22" t="n">
        <v>0.09</v>
      </c>
      <c r="G40" s="22" t="n">
        <v>0.1</v>
      </c>
      <c r="H40" s="22" t="n">
        <v>0.11</v>
      </c>
      <c r="I40" s="22" t="n">
        <v>0.12</v>
      </c>
    </row>
    <row r="41" customFormat="false" ht="15" hidden="false" customHeight="false" outlineLevel="0" collapsed="false">
      <c r="A41" s="21" t="s">
        <v>45</v>
      </c>
      <c r="E41" s="22" t="n">
        <v>0.1</v>
      </c>
      <c r="F41" s="22" t="n">
        <v>0.13</v>
      </c>
      <c r="G41" s="22" t="n">
        <v>0.16</v>
      </c>
      <c r="H41" s="22" t="n">
        <v>0.19</v>
      </c>
      <c r="I41" s="22" t="n">
        <v>0.22</v>
      </c>
    </row>
    <row r="42" customFormat="false" ht="15" hidden="false" customHeight="false" outlineLevel="0" collapsed="false">
      <c r="A42" s="23" t="s">
        <v>46</v>
      </c>
      <c r="B42" s="24"/>
      <c r="C42" s="24"/>
      <c r="D42" s="25" t="n">
        <f aca="false">1-IS!D13/IS!D8</f>
        <v>0.0743016759776536</v>
      </c>
      <c r="E42" s="25" t="n">
        <f aca="false">CHOOSE($B$3,E39,E40,E41)</f>
        <v>0.08</v>
      </c>
      <c r="F42" s="25" t="n">
        <f aca="false">CHOOSE($B$3,F39,F40,F41)</f>
        <v>0.09</v>
      </c>
      <c r="G42" s="25" t="n">
        <f aca="false">CHOOSE($B$3,G39,G40,G41)</f>
        <v>0.1</v>
      </c>
      <c r="H42" s="25" t="n">
        <f aca="false">CHOOSE($B$3,H39,H40,H41)</f>
        <v>0.11</v>
      </c>
      <c r="I42" s="25" t="n">
        <f aca="false">CHOOSE($B$3,I39,I40,I41)</f>
        <v>0.12</v>
      </c>
    </row>
    <row r="44" customFormat="false" ht="15" hidden="false" customHeight="false" outlineLevel="0" collapsed="false">
      <c r="A44" s="18" t="s">
        <v>57</v>
      </c>
      <c r="B44" s="19"/>
      <c r="C44" s="19"/>
      <c r="D44" s="19"/>
      <c r="E44" s="19"/>
      <c r="F44" s="19"/>
      <c r="G44" s="19"/>
      <c r="H44" s="19"/>
      <c r="I44" s="19"/>
      <c r="J44" s="19"/>
    </row>
    <row r="45" customFormat="false" ht="15" hidden="false" customHeight="false" outlineLevel="0" collapsed="false">
      <c r="A45" s="6" t="s">
        <v>58</v>
      </c>
      <c r="D45" s="26" t="n">
        <f aca="false">IS!D17/IS!D9</f>
        <v>0.0676073270271125</v>
      </c>
      <c r="E45" s="22" t="n">
        <v>0.072</v>
      </c>
      <c r="F45" s="22" t="n">
        <v>0.07</v>
      </c>
      <c r="G45" s="22" t="n">
        <v>0.068</v>
      </c>
      <c r="H45" s="22" t="n">
        <v>0.065</v>
      </c>
      <c r="I45" s="22" t="n">
        <v>0.063</v>
      </c>
      <c r="J45" s="2" t="s">
        <v>59</v>
      </c>
    </row>
    <row r="46" customFormat="false" ht="15" hidden="false" customHeight="false" outlineLevel="0" collapsed="false">
      <c r="A46" s="6" t="s">
        <v>60</v>
      </c>
      <c r="D46" s="26" t="n">
        <f aca="false">IS!D18/IS!D9</f>
        <v>0.061522562139475</v>
      </c>
      <c r="E46" s="22" t="n">
        <v>0.06</v>
      </c>
      <c r="F46" s="22" t="n">
        <v>0.058</v>
      </c>
      <c r="G46" s="22" t="n">
        <v>0.056</v>
      </c>
      <c r="H46" s="22" t="n">
        <v>0.054</v>
      </c>
      <c r="I46" s="22" t="n">
        <v>0.052</v>
      </c>
      <c r="J46" s="2" t="s">
        <v>61</v>
      </c>
    </row>
    <row r="47" customFormat="false" ht="15" hidden="false" customHeight="false" outlineLevel="0" collapsed="false">
      <c r="A47" s="6" t="s">
        <v>62</v>
      </c>
      <c r="D47" s="27" t="n">
        <f aca="false">IS!D19</f>
        <v>494</v>
      </c>
      <c r="E47" s="28" t="n">
        <v>0</v>
      </c>
      <c r="F47" s="28" t="n">
        <v>0</v>
      </c>
      <c r="G47" s="28" t="n">
        <v>0</v>
      </c>
      <c r="H47" s="28" t="n">
        <v>0</v>
      </c>
      <c r="I47" s="28" t="n">
        <v>0</v>
      </c>
      <c r="J47" s="2" t="s">
        <v>63</v>
      </c>
    </row>
    <row r="48" customFormat="false" ht="15" hidden="false" customHeight="false" outlineLevel="0" collapsed="false">
      <c r="A48" s="6" t="s">
        <v>64</v>
      </c>
      <c r="B48" s="26" t="n">
        <f aca="false">CF!B8/IS!B9</f>
        <v>0.0187242309321815</v>
      </c>
      <c r="C48" s="26" t="n">
        <f aca="false">CF!C8/IS!C9</f>
        <v>0.0204626880949944</v>
      </c>
      <c r="D48" s="26" t="n">
        <f aca="false">CF!D8/IS!D9</f>
        <v>0.029791093254031</v>
      </c>
      <c r="E48" s="22" t="n">
        <v>0.03</v>
      </c>
      <c r="F48" s="22" t="n">
        <v>0.03</v>
      </c>
      <c r="G48" s="22" t="n">
        <v>0.03</v>
      </c>
      <c r="H48" s="22" t="n">
        <v>0.03</v>
      </c>
      <c r="I48" s="22" t="n">
        <v>0.03</v>
      </c>
      <c r="J48" s="2" t="s">
        <v>65</v>
      </c>
    </row>
    <row r="49" customFormat="false" ht="15" hidden="false" customHeight="false" outlineLevel="0" collapsed="false">
      <c r="A49" s="6" t="s">
        <v>66</v>
      </c>
      <c r="D49" s="26" t="n">
        <f aca="false">CF!D7/BS!C11</f>
        <v>0.132668695108004</v>
      </c>
      <c r="E49" s="22" t="n">
        <v>0.13</v>
      </c>
      <c r="F49" s="22" t="n">
        <v>0.13</v>
      </c>
      <c r="G49" s="22" t="n">
        <v>0.13</v>
      </c>
      <c r="H49" s="22" t="n">
        <v>0.13</v>
      </c>
      <c r="I49" s="22" t="n">
        <v>0.13</v>
      </c>
      <c r="J49" s="2" t="s">
        <v>67</v>
      </c>
    </row>
    <row r="50" customFormat="false" ht="15" hidden="false" customHeight="false" outlineLevel="0" collapsed="false">
      <c r="A50" s="6" t="s">
        <v>68</v>
      </c>
      <c r="B50" s="26" t="n">
        <f aca="false">-CF!B13/IS!B9</f>
        <v>0.0919574674754322</v>
      </c>
      <c r="C50" s="26" t="n">
        <f aca="false">-CF!C13/IS!C9</f>
        <v>0.116101955164295</v>
      </c>
      <c r="D50" s="26" t="n">
        <f aca="false">-CF!D13/IS!D9</f>
        <v>0.089921646788362</v>
      </c>
      <c r="E50" s="29" t="n">
        <v>0.205</v>
      </c>
      <c r="F50" s="29" t="n">
        <v>0.16</v>
      </c>
      <c r="G50" s="29" t="n">
        <v>0.125</v>
      </c>
      <c r="H50" s="29" t="n">
        <v>0.105</v>
      </c>
      <c r="I50" s="29" t="n">
        <v>0.09</v>
      </c>
      <c r="J50" s="2" t="s">
        <v>69</v>
      </c>
    </row>
    <row r="52" customFormat="false" ht="15" hidden="false" customHeight="false" outlineLevel="0" collapsed="false">
      <c r="A52" s="18" t="s">
        <v>70</v>
      </c>
      <c r="B52" s="19"/>
      <c r="C52" s="19"/>
      <c r="D52" s="19"/>
      <c r="E52" s="19"/>
      <c r="F52" s="19"/>
      <c r="G52" s="19"/>
      <c r="H52" s="19"/>
      <c r="I52" s="19"/>
      <c r="J52" s="19"/>
    </row>
    <row r="53" customFormat="false" ht="15" hidden="false" customHeight="false" outlineLevel="0" collapsed="false">
      <c r="A53" s="6" t="s">
        <v>71</v>
      </c>
      <c r="C53" s="30" t="n">
        <f aca="false">BS!C7/IS!C9*365</f>
        <v>16.5070119766609</v>
      </c>
      <c r="D53" s="30" t="n">
        <f aca="false">BS!D7/IS!D9*365</f>
        <v>17.6135488837567</v>
      </c>
      <c r="E53" s="31" t="n">
        <v>17.5</v>
      </c>
      <c r="F53" s="31" t="n">
        <v>17.5</v>
      </c>
      <c r="G53" s="31" t="n">
        <v>17.5</v>
      </c>
      <c r="H53" s="31" t="n">
        <v>17.5</v>
      </c>
      <c r="I53" s="31" t="n">
        <v>17.5</v>
      </c>
      <c r="J53" s="2" t="s">
        <v>72</v>
      </c>
    </row>
    <row r="54" customFormat="false" ht="15" hidden="false" customHeight="false" outlineLevel="0" collapsed="false">
      <c r="A54" s="6" t="s">
        <v>73</v>
      </c>
      <c r="C54" s="30" t="n">
        <f aca="false">BS!C8/IS!C14*365</f>
        <v>54.6635717846461</v>
      </c>
      <c r="D54" s="30" t="n">
        <f aca="false">BS!D8/IS!D14*365</f>
        <v>58.1873850230919</v>
      </c>
      <c r="E54" s="31" t="n">
        <v>58</v>
      </c>
      <c r="F54" s="31" t="n">
        <v>58</v>
      </c>
      <c r="G54" s="31" t="n">
        <v>58</v>
      </c>
      <c r="H54" s="31" t="n">
        <v>58</v>
      </c>
      <c r="I54" s="31" t="n">
        <v>58</v>
      </c>
      <c r="J54" s="2" t="s">
        <v>72</v>
      </c>
    </row>
    <row r="55" customFormat="false" ht="15" hidden="false" customHeight="false" outlineLevel="0" collapsed="false">
      <c r="A55" s="6" t="s">
        <v>74</v>
      </c>
      <c r="C55" s="26" t="n">
        <f aca="false">BS!C9/IS!C9</f>
        <v>0.0548879107380489</v>
      </c>
      <c r="D55" s="26" t="n">
        <f aca="false">BS!D9/IS!D9</f>
        <v>0.0803041327891845</v>
      </c>
      <c r="E55" s="22" t="n">
        <v>0.08</v>
      </c>
      <c r="F55" s="22" t="n">
        <v>0.08</v>
      </c>
      <c r="G55" s="22" t="n">
        <v>0.08</v>
      </c>
      <c r="H55" s="22" t="n">
        <v>0.08</v>
      </c>
      <c r="I55" s="22" t="n">
        <v>0.08</v>
      </c>
    </row>
    <row r="56" customFormat="false" ht="15" hidden="false" customHeight="false" outlineLevel="0" collapsed="false">
      <c r="A56" s="6" t="s">
        <v>75</v>
      </c>
      <c r="C56" s="30" t="n">
        <f aca="false">BS!C16/IS!C14*365</f>
        <v>56.7423978065803</v>
      </c>
      <c r="D56" s="30" t="n">
        <f aca="false">BS!D16/IS!D14*365</f>
        <v>62.7843386978503</v>
      </c>
      <c r="E56" s="31" t="n">
        <v>62.5</v>
      </c>
      <c r="F56" s="31" t="n">
        <v>62.5</v>
      </c>
      <c r="G56" s="31" t="n">
        <v>62.5</v>
      </c>
      <c r="H56" s="31" t="n">
        <v>62.5</v>
      </c>
      <c r="I56" s="31" t="n">
        <v>62.5</v>
      </c>
      <c r="J56" s="2" t="s">
        <v>72</v>
      </c>
    </row>
    <row r="57" customFormat="false" ht="15" hidden="false" customHeight="false" outlineLevel="0" collapsed="false">
      <c r="A57" s="6" t="s">
        <v>76</v>
      </c>
      <c r="C57" s="26" t="n">
        <f aca="false">BS!C17/IS!C9</f>
        <v>0.109765585013819</v>
      </c>
      <c r="D57" s="26" t="n">
        <f aca="false">BS!D17/IS!D9</f>
        <v>0.14003395657355</v>
      </c>
      <c r="E57" s="22" t="n">
        <v>0.14</v>
      </c>
      <c r="F57" s="22" t="n">
        <v>0.14</v>
      </c>
      <c r="G57" s="22" t="n">
        <v>0.14</v>
      </c>
      <c r="H57" s="22" t="n">
        <v>0.14</v>
      </c>
      <c r="I57" s="22" t="n">
        <v>0.14</v>
      </c>
    </row>
    <row r="58" customFormat="false" ht="15" hidden="false" customHeight="false" outlineLevel="0" collapsed="false">
      <c r="A58" s="6" t="s">
        <v>77</v>
      </c>
      <c r="C58" s="26" t="n">
        <f aca="false">BS!C18/IS!C9</f>
        <v>0.0663834578769577</v>
      </c>
      <c r="D58" s="26" t="n">
        <f aca="false">BS!D18/IS!D9</f>
        <v>0.074398641737058</v>
      </c>
      <c r="E58" s="32" t="n">
        <f aca="false">Schedules!E48</f>
        <v>0.0733949296189388</v>
      </c>
      <c r="F58" s="32" t="n">
        <f aca="false">Schedules!F48</f>
        <v>0.072445647456609</v>
      </c>
      <c r="G58" s="32" t="n">
        <f aca="false">Schedules!G48</f>
        <v>0.0719842031826608</v>
      </c>
      <c r="H58" s="32" t="n">
        <f aca="false">Schedules!H48</f>
        <v>0.0721667504562044</v>
      </c>
      <c r="I58" s="32" t="n">
        <f aca="false">Schedules!I48</f>
        <v>0.0726440916433345</v>
      </c>
      <c r="J58" s="2" t="s">
        <v>78</v>
      </c>
    </row>
    <row r="59" customFormat="false" ht="15" hidden="false" customHeight="false" outlineLevel="0" collapsed="false">
      <c r="A59" s="6" t="s">
        <v>79</v>
      </c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0</v>
      </c>
      <c r="J59" s="2" t="s">
        <v>80</v>
      </c>
    </row>
    <row r="60" customFormat="false" ht="15" hidden="false" customHeight="false" outlineLevel="0" collapsed="false">
      <c r="A60" s="6" t="s">
        <v>81</v>
      </c>
      <c r="E60" s="28" t="n">
        <v>0</v>
      </c>
      <c r="F60" s="28" t="n">
        <v>0</v>
      </c>
      <c r="G60" s="28" t="n">
        <v>0</v>
      </c>
      <c r="H60" s="28" t="n">
        <v>0</v>
      </c>
      <c r="I60" s="28" t="n">
        <v>0</v>
      </c>
      <c r="J60" s="2" t="s">
        <v>82</v>
      </c>
    </row>
    <row r="62" customFormat="false" ht="15" hidden="false" customHeight="false" outlineLevel="0" collapsed="false">
      <c r="A62" s="18" t="s">
        <v>83</v>
      </c>
      <c r="B62" s="19"/>
      <c r="C62" s="19"/>
      <c r="D62" s="19"/>
      <c r="E62" s="19"/>
      <c r="F62" s="19"/>
      <c r="G62" s="19"/>
      <c r="H62" s="19"/>
      <c r="I62" s="19"/>
      <c r="J62" s="19"/>
    </row>
    <row r="63" customFormat="false" ht="15" hidden="false" customHeight="false" outlineLevel="0" collapsed="false">
      <c r="A63" s="6" t="s">
        <v>84</v>
      </c>
      <c r="D63" s="26" t="n">
        <f aca="false">IS!D23/BS!C6</f>
        <v>0.0459480895987747</v>
      </c>
      <c r="E63" s="22" t="n">
        <v>0.04</v>
      </c>
      <c r="F63" s="22" t="n">
        <v>0.04</v>
      </c>
      <c r="G63" s="22" t="n">
        <v>0.04</v>
      </c>
      <c r="H63" s="22" t="n">
        <v>0.04</v>
      </c>
      <c r="I63" s="22" t="n">
        <v>0.04</v>
      </c>
      <c r="J63" s="2" t="s">
        <v>85</v>
      </c>
    </row>
    <row r="64" customFormat="false" ht="15" hidden="false" customHeight="false" outlineLevel="0" collapsed="false">
      <c r="A64" s="6" t="s">
        <v>86</v>
      </c>
      <c r="D64" s="26" t="n">
        <f aca="false">IS!D24/AVERAGE(BS!C19,BS!D19)</f>
        <v>0.0407498945084092</v>
      </c>
      <c r="E64" s="32" t="n">
        <f aca="false">Schedules!E102</f>
        <v>0.0419333768755821</v>
      </c>
      <c r="F64" s="32" t="n">
        <f aca="false">Schedules!F102</f>
        <v>0.0420764830239098</v>
      </c>
      <c r="G64" s="32" t="n">
        <f aca="false">Schedules!G102</f>
        <v>0.0421864237322626</v>
      </c>
      <c r="H64" s="32" t="n">
        <f aca="false">Schedules!H102</f>
        <v>0.0422783809962625</v>
      </c>
      <c r="I64" s="32" t="n">
        <f aca="false">Schedules!I102</f>
        <v>0.0423595994568791</v>
      </c>
      <c r="J64" s="2" t="s">
        <v>87</v>
      </c>
    </row>
    <row r="65" customFormat="false" ht="15" hidden="false" customHeight="false" outlineLevel="0" collapsed="false">
      <c r="A65" s="6" t="s">
        <v>88</v>
      </c>
      <c r="D65" s="32" t="n">
        <f aca="false">IS!D40</f>
        <v>0.269609700644183</v>
      </c>
      <c r="E65" s="29" t="n">
        <v>0.25</v>
      </c>
      <c r="F65" s="29" t="n">
        <v>0.25</v>
      </c>
      <c r="G65" s="29" t="n">
        <v>0.25</v>
      </c>
      <c r="H65" s="29" t="n">
        <v>0.25</v>
      </c>
      <c r="I65" s="29" t="n">
        <v>0.25</v>
      </c>
      <c r="J65" s="2" t="s">
        <v>89</v>
      </c>
    </row>
    <row r="66" customFormat="false" ht="15" hidden="false" customHeight="false" outlineLevel="0" collapsed="false">
      <c r="A66" s="6" t="s">
        <v>90</v>
      </c>
      <c r="D66" s="27" t="n">
        <f aca="false">IS!D30</f>
        <v>61</v>
      </c>
      <c r="E66" s="28" t="n">
        <v>60</v>
      </c>
      <c r="F66" s="28" t="n">
        <v>60</v>
      </c>
      <c r="G66" s="28" t="n">
        <v>60</v>
      </c>
      <c r="H66" s="28" t="n">
        <v>60</v>
      </c>
      <c r="I66" s="28" t="n">
        <v>60</v>
      </c>
      <c r="J66" s="2" t="s">
        <v>91</v>
      </c>
    </row>
    <row r="67" customFormat="false" ht="15" hidden="false" customHeight="false" outlineLevel="0" collapsed="false">
      <c r="A67" s="6" t="s">
        <v>92</v>
      </c>
      <c r="E67" s="27" t="n">
        <f aca="false">Schedules!E100</f>
        <v>305.035822251054</v>
      </c>
      <c r="F67" s="27" t="n">
        <f aca="false">Schedules!F100</f>
        <v>280.235335452482</v>
      </c>
      <c r="G67" s="27" t="n">
        <f aca="false">Schedules!G100</f>
        <v>166.00172821797</v>
      </c>
      <c r="H67" s="27" t="n">
        <f aca="false">Schedules!H100</f>
        <v>202.425471360519</v>
      </c>
      <c r="I67" s="27" t="n">
        <f aca="false">Schedules!I100</f>
        <v>121.631264363912</v>
      </c>
      <c r="J67" s="2" t="s">
        <v>93</v>
      </c>
    </row>
    <row r="69" customFormat="false" ht="15" hidden="false" customHeight="false" outlineLevel="0" collapsed="false">
      <c r="A69" s="18" t="s">
        <v>94</v>
      </c>
      <c r="B69" s="19"/>
      <c r="C69" s="19"/>
      <c r="D69" s="19"/>
      <c r="E69" s="19"/>
      <c r="F69" s="19"/>
      <c r="G69" s="19"/>
      <c r="H69" s="19"/>
      <c r="I69" s="19"/>
      <c r="J69" s="19"/>
    </row>
    <row r="70" customFormat="false" ht="15" hidden="false" customHeight="false" outlineLevel="0" collapsed="false">
      <c r="A70" s="6" t="s">
        <v>95</v>
      </c>
      <c r="B70" s="33" t="n">
        <v>0.0524</v>
      </c>
      <c r="J70" s="2" t="s">
        <v>96</v>
      </c>
    </row>
    <row r="71" customFormat="false" ht="15" hidden="false" customHeight="false" outlineLevel="0" collapsed="false">
      <c r="A71" s="6" t="s">
        <v>97</v>
      </c>
      <c r="B71" s="33" t="n">
        <v>0.045</v>
      </c>
      <c r="J71" s="2" t="s">
        <v>98</v>
      </c>
    </row>
    <row r="72" customFormat="false" ht="15" hidden="false" customHeight="false" outlineLevel="0" collapsed="false">
      <c r="A72" s="6" t="s">
        <v>99</v>
      </c>
      <c r="B72" s="34" t="n">
        <v>1.85</v>
      </c>
      <c r="J72" s="2" t="s">
        <v>100</v>
      </c>
    </row>
    <row r="73" customFormat="false" ht="15" hidden="false" customHeight="false" outlineLevel="0" collapsed="false">
      <c r="A73" s="6" t="s">
        <v>101</v>
      </c>
      <c r="B73" s="35" t="n">
        <v>0.055</v>
      </c>
      <c r="J73" s="2" t="s">
        <v>102</v>
      </c>
    </row>
    <row r="74" customFormat="false" ht="15" hidden="false" customHeight="false" outlineLevel="0" collapsed="false">
      <c r="A74" s="6" t="s">
        <v>23</v>
      </c>
      <c r="B74" s="36" t="n">
        <v>358.54</v>
      </c>
      <c r="J74" s="2" t="s">
        <v>103</v>
      </c>
    </row>
    <row r="75" customFormat="false" ht="15" hidden="false" customHeight="false" outlineLevel="0" collapsed="false">
      <c r="A75" s="6" t="s">
        <v>104</v>
      </c>
      <c r="B75" s="28" t="n">
        <v>3950</v>
      </c>
      <c r="J75" s="2" t="s">
        <v>105</v>
      </c>
    </row>
    <row r="76" customFormat="false" ht="15" hidden="false" customHeight="false" outlineLevel="0" collapsed="false">
      <c r="A76" s="6" t="s">
        <v>106</v>
      </c>
      <c r="B76" s="33" t="n">
        <v>0.03</v>
      </c>
      <c r="J76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16" t="s">
        <v>31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6" t="s">
        <v>40</v>
      </c>
    </row>
    <row r="6" customFormat="false" ht="15" hidden="false" customHeight="false" outlineLevel="0" collapsed="false">
      <c r="A6" s="18" t="s">
        <v>110</v>
      </c>
      <c r="B6" s="19"/>
      <c r="C6" s="19"/>
      <c r="D6" s="19"/>
      <c r="E6" s="19"/>
      <c r="F6" s="19"/>
      <c r="G6" s="19"/>
      <c r="H6" s="19"/>
      <c r="I6" s="19"/>
      <c r="J6" s="19"/>
    </row>
    <row r="7" customFormat="false" ht="15" hidden="false" customHeight="false" outlineLevel="0" collapsed="false">
      <c r="A7" s="21" t="s">
        <v>111</v>
      </c>
      <c r="E7" s="22" t="n">
        <v>-0.05</v>
      </c>
      <c r="F7" s="22" t="n">
        <v>-0.01</v>
      </c>
      <c r="G7" s="22" t="n">
        <v>0.01</v>
      </c>
      <c r="H7" s="22" t="n">
        <v>0.02</v>
      </c>
      <c r="I7" s="22" t="n">
        <v>0.02</v>
      </c>
    </row>
    <row r="8" customFormat="false" ht="15" hidden="false" customHeight="false" outlineLevel="0" collapsed="false">
      <c r="A8" s="21" t="s">
        <v>112</v>
      </c>
      <c r="E8" s="22" t="n">
        <v>0.01</v>
      </c>
      <c r="F8" s="22" t="n">
        <v>0.04</v>
      </c>
      <c r="G8" s="22" t="n">
        <v>0.05</v>
      </c>
      <c r="H8" s="22" t="n">
        <v>0.04</v>
      </c>
      <c r="I8" s="22" t="n">
        <v>0.03</v>
      </c>
    </row>
    <row r="9" customFormat="false" ht="15" hidden="false" customHeight="false" outlineLevel="0" collapsed="false">
      <c r="A9" s="21" t="s">
        <v>113</v>
      </c>
      <c r="E9" s="22" t="n">
        <v>0.08</v>
      </c>
      <c r="F9" s="22" t="n">
        <v>0.1</v>
      </c>
      <c r="G9" s="22" t="n">
        <v>0.12</v>
      </c>
      <c r="H9" s="22" t="n">
        <v>0.1</v>
      </c>
      <c r="I9" s="22" t="n">
        <v>0.08</v>
      </c>
    </row>
    <row r="10" customFormat="false" ht="15" hidden="false" customHeight="false" outlineLevel="0" collapsed="false">
      <c r="A10" s="23" t="s">
        <v>114</v>
      </c>
      <c r="E10" s="37" t="n">
        <f aca="false">CHOOSE(Assumptions!$B$3,E7,E8,E9)</f>
        <v>0.01</v>
      </c>
      <c r="F10" s="37" t="n">
        <f aca="false">CHOOSE(Assumptions!$B$3,F7,F8,F9)</f>
        <v>0.04</v>
      </c>
      <c r="G10" s="37" t="n">
        <f aca="false">CHOOSE(Assumptions!$B$3,G7,G8,G9)</f>
        <v>0.05</v>
      </c>
      <c r="H10" s="37" t="n">
        <f aca="false">CHOOSE(Assumptions!$B$3,H7,H8,H9)</f>
        <v>0.04</v>
      </c>
      <c r="I10" s="37" t="n">
        <f aca="false">CHOOSE(Assumptions!$B$3,I7,I8,I9)</f>
        <v>0.03</v>
      </c>
      <c r="J10" s="2" t="s">
        <v>115</v>
      </c>
    </row>
    <row r="11" customFormat="false" ht="15" hidden="false" customHeight="false" outlineLevel="0" collapsed="false">
      <c r="A11" s="21" t="s">
        <v>116</v>
      </c>
      <c r="E11" s="22" t="n">
        <v>0</v>
      </c>
      <c r="F11" s="22" t="n">
        <v>0</v>
      </c>
      <c r="G11" s="22" t="n">
        <v>0.005</v>
      </c>
      <c r="H11" s="22" t="n">
        <v>0.005</v>
      </c>
      <c r="I11" s="22" t="n">
        <v>0.005</v>
      </c>
    </row>
    <row r="12" customFormat="false" ht="15" hidden="false" customHeight="false" outlineLevel="0" collapsed="false">
      <c r="A12" s="21" t="s">
        <v>117</v>
      </c>
      <c r="E12" s="22" t="n">
        <v>0.015</v>
      </c>
      <c r="F12" s="22" t="n">
        <v>0.01</v>
      </c>
      <c r="G12" s="22" t="n">
        <v>0.01</v>
      </c>
      <c r="H12" s="22" t="n">
        <v>0.01</v>
      </c>
      <c r="I12" s="22" t="n">
        <v>0.01</v>
      </c>
    </row>
    <row r="13" customFormat="false" ht="15" hidden="false" customHeight="false" outlineLevel="0" collapsed="false">
      <c r="A13" s="21" t="s">
        <v>118</v>
      </c>
      <c r="E13" s="22" t="n">
        <v>0.02</v>
      </c>
      <c r="F13" s="22" t="n">
        <v>0.02</v>
      </c>
      <c r="G13" s="22" t="n">
        <v>0.015</v>
      </c>
      <c r="H13" s="22" t="n">
        <v>0.015</v>
      </c>
      <c r="I13" s="22" t="n">
        <v>0.015</v>
      </c>
    </row>
    <row r="14" customFormat="false" ht="15" hidden="false" customHeight="false" outlineLevel="0" collapsed="false">
      <c r="A14" s="23" t="s">
        <v>119</v>
      </c>
      <c r="E14" s="37" t="n">
        <f aca="false">CHOOSE(Assumptions!$B$3,E11,E12,E13)</f>
        <v>0.015</v>
      </c>
      <c r="F14" s="37" t="n">
        <f aca="false">CHOOSE(Assumptions!$B$3,F11,F12,F13)</f>
        <v>0.01</v>
      </c>
      <c r="G14" s="37" t="n">
        <f aca="false">CHOOSE(Assumptions!$B$3,G11,G12,G13)</f>
        <v>0.01</v>
      </c>
      <c r="H14" s="37" t="n">
        <f aca="false">CHOOSE(Assumptions!$B$3,H11,H12,H13)</f>
        <v>0.01</v>
      </c>
      <c r="I14" s="37" t="n">
        <f aca="false">CHOOSE(Assumptions!$B$3,I11,I12,I13)</f>
        <v>0.01</v>
      </c>
      <c r="J14" s="2" t="s">
        <v>120</v>
      </c>
    </row>
    <row r="15" customFormat="false" ht="15" hidden="false" customHeight="false" outlineLevel="0" collapsed="false">
      <c r="A15" s="5" t="s">
        <v>121</v>
      </c>
      <c r="B15" s="28" t="n">
        <v>1808581</v>
      </c>
      <c r="C15" s="28" t="n">
        <v>1789226</v>
      </c>
      <c r="D15" s="28" t="n">
        <v>1636129</v>
      </c>
      <c r="E15" s="38" t="n">
        <f aca="false">D15*(1+E10)</f>
        <v>1652490.29</v>
      </c>
      <c r="F15" s="38" t="n">
        <f aca="false">E15*(1+F10)</f>
        <v>1718589.9016</v>
      </c>
      <c r="G15" s="38" t="n">
        <f aca="false">F15*(1+G10)</f>
        <v>1804519.39668</v>
      </c>
      <c r="H15" s="38" t="n">
        <f aca="false">G15*(1+H10)</f>
        <v>1876700.1725472</v>
      </c>
      <c r="I15" s="38" t="n">
        <f aca="false">H15*(1+I10)</f>
        <v>1933001.17772362</v>
      </c>
      <c r="J15" s="2" t="s">
        <v>122</v>
      </c>
    </row>
    <row r="16" customFormat="false" ht="15" hidden="false" customHeight="false" outlineLevel="0" collapsed="false">
      <c r="A16" s="39" t="s">
        <v>123</v>
      </c>
      <c r="D16" s="38" t="n">
        <f aca="false">D18*1000000/D15</f>
        <v>41276.085198661</v>
      </c>
      <c r="E16" s="38" t="n">
        <f aca="false">D16*(1+E14)</f>
        <v>41895.2264766409</v>
      </c>
      <c r="F16" s="38" t="n">
        <f aca="false">E16*(1+F14)</f>
        <v>42314.1787414073</v>
      </c>
      <c r="G16" s="38" t="n">
        <f aca="false">F16*(1+G14)</f>
        <v>42737.3205288214</v>
      </c>
      <c r="H16" s="38" t="n">
        <f aca="false">G16*(1+H14)</f>
        <v>43164.6937341096</v>
      </c>
      <c r="I16" s="38" t="n">
        <f aca="false">H16*(1+I14)</f>
        <v>43596.3406714507</v>
      </c>
      <c r="J16" s="2" t="s">
        <v>124</v>
      </c>
    </row>
    <row r="17" customFormat="false" ht="15" hidden="false" customHeight="false" outlineLevel="0" collapsed="false">
      <c r="A17" s="39" t="s">
        <v>125</v>
      </c>
      <c r="D17" s="28" t="n">
        <v>1993</v>
      </c>
      <c r="E17" s="28" t="n">
        <v>1500</v>
      </c>
      <c r="F17" s="28" t="n">
        <v>1100</v>
      </c>
      <c r="G17" s="28" t="n">
        <v>800</v>
      </c>
      <c r="H17" s="28" t="n">
        <v>600</v>
      </c>
      <c r="I17" s="28" t="n">
        <v>400</v>
      </c>
      <c r="J17" s="2" t="s">
        <v>126</v>
      </c>
    </row>
    <row r="18" customFormat="false" ht="15" hidden="false" customHeight="false" outlineLevel="0" collapsed="false">
      <c r="A18" s="39" t="s">
        <v>127</v>
      </c>
      <c r="D18" s="38" t="n">
        <f aca="false">IS!D6-D17</f>
        <v>67533</v>
      </c>
      <c r="E18" s="38" t="n">
        <f aca="false">E15*E16/1000000</f>
        <v>69231.45495</v>
      </c>
      <c r="F18" s="38" t="n">
        <f aca="false">F15*F16/1000000</f>
        <v>72720.72027948</v>
      </c>
      <c r="G18" s="38" t="n">
        <f aca="false">G15*G16/1000000</f>
        <v>77120.3238563886</v>
      </c>
      <c r="H18" s="38" t="n">
        <f aca="false">H15*H16/1000000</f>
        <v>81007.1881787505</v>
      </c>
      <c r="I18" s="38" t="n">
        <f aca="false">I15*I16/1000000</f>
        <v>84271.7778623542</v>
      </c>
    </row>
    <row r="19" customFormat="false" ht="15" hidden="false" customHeight="false" outlineLevel="0" collapsed="false">
      <c r="A19" s="5" t="s">
        <v>128</v>
      </c>
      <c r="B19" s="40" t="n">
        <f aca="false">IS!B6</f>
        <v>82419</v>
      </c>
      <c r="C19" s="40" t="n">
        <f aca="false">IS!C6</f>
        <v>77070</v>
      </c>
      <c r="D19" s="40" t="n">
        <f aca="false">IS!D6</f>
        <v>69526</v>
      </c>
      <c r="E19" s="41" t="n">
        <f aca="false">E18+E17</f>
        <v>70731.45495</v>
      </c>
      <c r="F19" s="41" t="n">
        <f aca="false">F18+F17</f>
        <v>73820.72027948</v>
      </c>
      <c r="G19" s="41" t="n">
        <f aca="false">G18+G17</f>
        <v>77920.3238563886</v>
      </c>
      <c r="H19" s="41" t="n">
        <f aca="false">H18+H17</f>
        <v>81607.1881787505</v>
      </c>
      <c r="I19" s="41" t="n">
        <f aca="false">I18+I17</f>
        <v>84671.7778623542</v>
      </c>
    </row>
    <row r="20" customFormat="false" ht="15" hidden="false" customHeight="false" outlineLevel="0" collapsed="false">
      <c r="A20" s="42" t="s">
        <v>129</v>
      </c>
      <c r="E20" s="38" t="n">
        <f aca="false">IS!D6*(1+Assumptions!E12)</f>
        <v>70916.52</v>
      </c>
      <c r="F20" s="38" t="n">
        <f aca="false">E20*(1+Assumptions!F12)</f>
        <v>74462.346</v>
      </c>
      <c r="G20" s="38" t="n">
        <f aca="false">F20*(1+Assumptions!G12)</f>
        <v>78930.08676</v>
      </c>
      <c r="H20" s="38" t="n">
        <f aca="false">G20*(1+Assumptions!H12)</f>
        <v>82876.591098</v>
      </c>
      <c r="I20" s="38" t="n">
        <f aca="false">H20*(1+Assumptions!I12)</f>
        <v>86191.65474192</v>
      </c>
      <c r="J20" s="2" t="s">
        <v>130</v>
      </c>
    </row>
    <row r="21" customFormat="false" ht="15" hidden="false" customHeight="false" outlineLevel="0" collapsed="false">
      <c r="A21" s="42" t="s">
        <v>131</v>
      </c>
      <c r="E21" s="26" t="n">
        <f aca="false">E19/E20-1</f>
        <v>-0.00260961832306494</v>
      </c>
      <c r="F21" s="26" t="n">
        <f aca="false">F19/F20-1</f>
        <v>-0.00861678089648166</v>
      </c>
      <c r="G21" s="26" t="n">
        <f aca="false">G19/G20-1</f>
        <v>-0.0127931305419923</v>
      </c>
      <c r="H21" s="26" t="n">
        <f aca="false">H19/H20-1</f>
        <v>-0.0153167849018844</v>
      </c>
      <c r="I21" s="26" t="n">
        <f aca="false">I19/I20-1</f>
        <v>-0.01763368952733</v>
      </c>
    </row>
    <row r="23" customFormat="false" ht="15" hidden="false" customHeight="false" outlineLevel="0" collapsed="false">
      <c r="A23" s="18" t="s">
        <v>132</v>
      </c>
      <c r="B23" s="19"/>
      <c r="C23" s="19"/>
      <c r="D23" s="19"/>
      <c r="E23" s="19"/>
      <c r="F23" s="19"/>
      <c r="G23" s="19"/>
      <c r="H23" s="19"/>
      <c r="I23" s="19"/>
      <c r="J23" s="19"/>
    </row>
    <row r="24" customFormat="false" ht="15" hidden="false" customHeight="false" outlineLevel="0" collapsed="false">
      <c r="A24" s="21" t="s">
        <v>133</v>
      </c>
      <c r="E24" s="22" t="n">
        <v>0.15</v>
      </c>
      <c r="F24" s="22" t="n">
        <v>0.12</v>
      </c>
      <c r="G24" s="22" t="n">
        <v>0.1</v>
      </c>
      <c r="H24" s="22" t="n">
        <v>0.08</v>
      </c>
      <c r="I24" s="22" t="n">
        <v>0.06</v>
      </c>
    </row>
    <row r="25" customFormat="false" ht="15" hidden="false" customHeight="false" outlineLevel="0" collapsed="false">
      <c r="A25" s="21" t="s">
        <v>134</v>
      </c>
      <c r="E25" s="22" t="n">
        <v>0.3</v>
      </c>
      <c r="F25" s="22" t="n">
        <v>0.25</v>
      </c>
      <c r="G25" s="22" t="n">
        <v>0.2</v>
      </c>
      <c r="H25" s="22" t="n">
        <v>0.15</v>
      </c>
      <c r="I25" s="22" t="n">
        <v>0.12</v>
      </c>
    </row>
    <row r="26" customFormat="false" ht="15" hidden="false" customHeight="false" outlineLevel="0" collapsed="false">
      <c r="A26" s="21" t="s">
        <v>135</v>
      </c>
      <c r="E26" s="22" t="n">
        <v>0.4</v>
      </c>
      <c r="F26" s="22" t="n">
        <v>0.32</v>
      </c>
      <c r="G26" s="22" t="n">
        <v>0.26</v>
      </c>
      <c r="H26" s="22" t="n">
        <v>0.2</v>
      </c>
      <c r="I26" s="22" t="n">
        <v>0.15</v>
      </c>
    </row>
    <row r="27" customFormat="false" ht="15" hidden="false" customHeight="false" outlineLevel="0" collapsed="false">
      <c r="A27" s="23" t="s">
        <v>136</v>
      </c>
      <c r="E27" s="37" t="n">
        <f aca="false">CHOOSE(Assumptions!$B$3,E24,E25,E26)</f>
        <v>0.3</v>
      </c>
      <c r="F27" s="37" t="n">
        <f aca="false">CHOOSE(Assumptions!$B$3,F24,F25,F26)</f>
        <v>0.25</v>
      </c>
      <c r="G27" s="37" t="n">
        <f aca="false">CHOOSE(Assumptions!$B$3,G24,G25,G26)</f>
        <v>0.2</v>
      </c>
      <c r="H27" s="37" t="n">
        <f aca="false">CHOOSE(Assumptions!$B$3,H24,H25,H26)</f>
        <v>0.15</v>
      </c>
      <c r="I27" s="37" t="n">
        <f aca="false">CHOOSE(Assumptions!$B$3,I24,I25,I26)</f>
        <v>0.12</v>
      </c>
      <c r="J27" s="2" t="s">
        <v>137</v>
      </c>
    </row>
    <row r="28" customFormat="false" ht="15" hidden="false" customHeight="false" outlineLevel="0" collapsed="false">
      <c r="A28" s="21" t="s">
        <v>138</v>
      </c>
      <c r="E28" s="22" t="n">
        <v>-0.1</v>
      </c>
      <c r="F28" s="22" t="n">
        <v>-0.06</v>
      </c>
      <c r="G28" s="22" t="n">
        <v>-0.04</v>
      </c>
      <c r="H28" s="22" t="n">
        <v>-0.03</v>
      </c>
      <c r="I28" s="22" t="n">
        <v>-0.03</v>
      </c>
    </row>
    <row r="29" customFormat="false" ht="15" hidden="false" customHeight="false" outlineLevel="0" collapsed="false">
      <c r="A29" s="21" t="s">
        <v>139</v>
      </c>
      <c r="E29" s="22" t="n">
        <v>-0.06</v>
      </c>
      <c r="F29" s="22" t="n">
        <v>-0.04</v>
      </c>
      <c r="G29" s="22" t="n">
        <v>-0.03</v>
      </c>
      <c r="H29" s="22" t="n">
        <v>-0.02</v>
      </c>
      <c r="I29" s="22" t="n">
        <v>-0.02</v>
      </c>
    </row>
    <row r="30" customFormat="false" ht="15" hidden="false" customHeight="false" outlineLevel="0" collapsed="false">
      <c r="A30" s="21" t="s">
        <v>140</v>
      </c>
      <c r="E30" s="22" t="n">
        <v>-0.04</v>
      </c>
      <c r="F30" s="22" t="n">
        <v>-0.02</v>
      </c>
      <c r="G30" s="22" t="n">
        <v>-0.01</v>
      </c>
      <c r="H30" s="22" t="n">
        <v>0</v>
      </c>
      <c r="I30" s="22" t="n">
        <v>0</v>
      </c>
    </row>
    <row r="31" customFormat="false" ht="15" hidden="false" customHeight="false" outlineLevel="0" collapsed="false">
      <c r="A31" s="23" t="s">
        <v>141</v>
      </c>
      <c r="E31" s="37" t="n">
        <f aca="false">CHOOSE(Assumptions!$B$3,E28,E29,E30)</f>
        <v>-0.06</v>
      </c>
      <c r="F31" s="37" t="n">
        <f aca="false">CHOOSE(Assumptions!$B$3,F28,F29,F30)</f>
        <v>-0.04</v>
      </c>
      <c r="G31" s="37" t="n">
        <f aca="false">CHOOSE(Assumptions!$B$3,G28,G29,G30)</f>
        <v>-0.03</v>
      </c>
      <c r="H31" s="37" t="n">
        <f aca="false">CHOOSE(Assumptions!$B$3,H28,H29,H30)</f>
        <v>-0.02</v>
      </c>
      <c r="I31" s="37" t="n">
        <f aca="false">CHOOSE(Assumptions!$B$3,I28,I29,I30)</f>
        <v>-0.02</v>
      </c>
      <c r="J31" s="2" t="s">
        <v>142</v>
      </c>
    </row>
    <row r="32" customFormat="false" ht="15" hidden="false" customHeight="false" outlineLevel="0" collapsed="false">
      <c r="A32" s="5" t="s">
        <v>143</v>
      </c>
      <c r="B32" s="31" t="n">
        <v>14.7</v>
      </c>
      <c r="C32" s="31" t="n">
        <v>31.4</v>
      </c>
      <c r="D32" s="31" t="n">
        <v>46.7</v>
      </c>
      <c r="E32" s="30" t="n">
        <f aca="false">D32*(1+E27)</f>
        <v>60.71</v>
      </c>
      <c r="F32" s="30" t="n">
        <f aca="false">E32*(1+F27)</f>
        <v>75.8875</v>
      </c>
      <c r="G32" s="30" t="n">
        <f aca="false">F32*(1+G27)</f>
        <v>91.065</v>
      </c>
      <c r="H32" s="30" t="n">
        <f aca="false">G32*(1+H27)</f>
        <v>104.72475</v>
      </c>
      <c r="I32" s="30" t="n">
        <f aca="false">H32*(1+I27)</f>
        <v>117.29172</v>
      </c>
      <c r="J32" s="2" t="s">
        <v>144</v>
      </c>
    </row>
    <row r="33" customFormat="false" ht="15" hidden="false" customHeight="false" outlineLevel="0" collapsed="false">
      <c r="A33" s="39" t="s">
        <v>145</v>
      </c>
      <c r="B33" s="30" t="n">
        <f aca="false">IS!B7/B32</f>
        <v>410.544217687075</v>
      </c>
      <c r="C33" s="30" t="n">
        <f aca="false">IS!C7/C32</f>
        <v>321.210191082803</v>
      </c>
      <c r="D33" s="30" t="n">
        <f aca="false">IS!D7/D32</f>
        <v>273.468950749465</v>
      </c>
      <c r="E33" s="30" t="n">
        <f aca="false">D33*(1+E31)</f>
        <v>257.060813704497</v>
      </c>
      <c r="F33" s="30" t="n">
        <f aca="false">E33*(1+F31)</f>
        <v>246.778381156317</v>
      </c>
      <c r="G33" s="30" t="n">
        <f aca="false">F33*(1+G31)</f>
        <v>239.375029721627</v>
      </c>
      <c r="H33" s="30" t="n">
        <f aca="false">G33*(1+H31)</f>
        <v>234.587529127195</v>
      </c>
      <c r="I33" s="30" t="n">
        <f aca="false">H33*(1+I31)</f>
        <v>229.895778544651</v>
      </c>
      <c r="J33" s="2" t="s">
        <v>146</v>
      </c>
    </row>
    <row r="34" customFormat="false" ht="15" hidden="false" customHeight="false" outlineLevel="0" collapsed="false">
      <c r="A34" s="5" t="s">
        <v>147</v>
      </c>
      <c r="B34" s="40" t="n">
        <f aca="false">IS!B7</f>
        <v>6035</v>
      </c>
      <c r="C34" s="40" t="n">
        <f aca="false">IS!C7</f>
        <v>10086</v>
      </c>
      <c r="D34" s="40" t="n">
        <f aca="false">IS!D7</f>
        <v>12771</v>
      </c>
      <c r="E34" s="41" t="n">
        <f aca="false">E32*E33</f>
        <v>15606.162</v>
      </c>
      <c r="F34" s="41" t="n">
        <f aca="false">F32*F33</f>
        <v>18727.3944</v>
      </c>
      <c r="G34" s="41" t="n">
        <f aca="false">G32*G33</f>
        <v>21798.6870816</v>
      </c>
      <c r="H34" s="41" t="n">
        <f aca="false">H32*H33</f>
        <v>24567.1203409632</v>
      </c>
      <c r="I34" s="41" t="n">
        <f aca="false">I32*I33</f>
        <v>26964.8712862412</v>
      </c>
    </row>
    <row r="35" customFormat="false" ht="15" hidden="false" customHeight="false" outlineLevel="0" collapsed="false">
      <c r="A35" s="42" t="s">
        <v>148</v>
      </c>
      <c r="E35" s="38" t="n">
        <f aca="false">IS!D7*(1+Assumptions!E18)</f>
        <v>15963.75</v>
      </c>
      <c r="F35" s="38" t="n">
        <f aca="false">E35*(1+Assumptions!F18)</f>
        <v>19475.775</v>
      </c>
      <c r="G35" s="38" t="n">
        <f aca="false">F35*(1+Assumptions!G18)</f>
        <v>22981.4145</v>
      </c>
      <c r="H35" s="38" t="n">
        <f aca="false">G35*(1+Assumptions!H18)</f>
        <v>26428.626675</v>
      </c>
      <c r="I35" s="38" t="n">
        <f aca="false">H35*(1+Assumptions!I18)</f>
        <v>29600.061876</v>
      </c>
    </row>
    <row r="36" customFormat="false" ht="15" hidden="false" customHeight="false" outlineLevel="0" collapsed="false">
      <c r="A36" s="42" t="s">
        <v>131</v>
      </c>
      <c r="E36" s="26" t="n">
        <f aca="false">E34/E35-1</f>
        <v>-0.0224</v>
      </c>
      <c r="F36" s="26" t="n">
        <f aca="false">F34/F35-1</f>
        <v>-0.0384262295081965</v>
      </c>
      <c r="G36" s="26" t="n">
        <f aca="false">G34/G35-1</f>
        <v>-0.0514645179216449</v>
      </c>
      <c r="H36" s="26" t="n">
        <f aca="false">H34/H35-1</f>
        <v>-0.0704352275632119</v>
      </c>
      <c r="I36" s="26" t="n">
        <f aca="false">I34/I35-1</f>
        <v>-0.0890265230119477</v>
      </c>
      <c r="J36" s="2" t="s">
        <v>149</v>
      </c>
    </row>
    <row r="38" customFormat="false" ht="15" hidden="false" customHeight="false" outlineLevel="0" collapsed="false">
      <c r="A38" s="18" t="s">
        <v>150</v>
      </c>
      <c r="B38" s="19"/>
      <c r="C38" s="19"/>
      <c r="D38" s="19"/>
      <c r="E38" s="19"/>
      <c r="F38" s="19"/>
      <c r="G38" s="19"/>
      <c r="H38" s="19"/>
      <c r="I38" s="19"/>
      <c r="J38" s="19"/>
    </row>
    <row r="39" customFormat="false" ht="15" hidden="false" customHeight="false" outlineLevel="0" collapsed="false">
      <c r="A39" s="6" t="s">
        <v>151</v>
      </c>
      <c r="E39" s="29" t="n">
        <v>0.55</v>
      </c>
      <c r="F39" s="29" t="n">
        <v>0.55</v>
      </c>
      <c r="G39" s="29" t="n">
        <v>0.55</v>
      </c>
      <c r="H39" s="29" t="n">
        <v>0.55</v>
      </c>
      <c r="I39" s="29" t="n">
        <v>0.55</v>
      </c>
      <c r="J39" s="2" t="s">
        <v>152</v>
      </c>
    </row>
    <row r="40" customFormat="false" ht="15" hidden="false" customHeight="false" outlineLevel="0" collapsed="false">
      <c r="A40" s="6" t="s">
        <v>153</v>
      </c>
      <c r="E40" s="29" t="n">
        <v>0.042</v>
      </c>
      <c r="F40" s="29" t="n">
        <v>0.042</v>
      </c>
      <c r="G40" s="29" t="n">
        <v>0.042</v>
      </c>
      <c r="H40" s="29" t="n">
        <v>0.042</v>
      </c>
      <c r="I40" s="29" t="n">
        <v>0.042</v>
      </c>
      <c r="J40" s="2" t="s">
        <v>154</v>
      </c>
    </row>
    <row r="41" customFormat="false" ht="15" hidden="false" customHeight="false" outlineLevel="0" collapsed="false">
      <c r="A41" s="6" t="s">
        <v>155</v>
      </c>
      <c r="E41" s="27" t="n">
        <f aca="false">BS!D18</f>
        <v>7055</v>
      </c>
      <c r="F41" s="38" t="n">
        <f aca="false">E44</f>
        <v>7421.9167119</v>
      </c>
      <c r="G41" s="38" t="n">
        <f aca="false">F44</f>
        <v>7947.22802489316</v>
      </c>
      <c r="H41" s="38" t="n">
        <f aca="false">G44</f>
        <v>8585.64401491744</v>
      </c>
      <c r="I41" s="38" t="n">
        <f aca="false">H44</f>
        <v>9242.59686217922</v>
      </c>
    </row>
    <row r="42" customFormat="false" ht="15" hidden="false" customHeight="false" outlineLevel="0" collapsed="false">
      <c r="A42" s="39" t="s">
        <v>156</v>
      </c>
      <c r="E42" s="38" t="n">
        <f aca="false">E40*IS!E9</f>
        <v>4247.1667119</v>
      </c>
      <c r="F42" s="38" t="n">
        <f aca="false">F40*IS!F9</f>
        <v>4607.36550453816</v>
      </c>
      <c r="G42" s="38" t="n">
        <f aca="false">G40*IS!G9</f>
        <v>5009.39140371552</v>
      </c>
      <c r="H42" s="38" t="n">
        <f aca="false">H40*IS!H9</f>
        <v>5379.05705546638</v>
      </c>
      <c r="I42" s="38" t="n">
        <f aca="false">I40*IS!I9</f>
        <v>5700.44897164325</v>
      </c>
    </row>
    <row r="43" customFormat="false" ht="15" hidden="false" customHeight="false" outlineLevel="0" collapsed="false">
      <c r="A43" s="39" t="s">
        <v>157</v>
      </c>
      <c r="E43" s="38" t="n">
        <f aca="false">E41*E39</f>
        <v>3880.25</v>
      </c>
      <c r="F43" s="38" t="n">
        <f aca="false">F41*F39</f>
        <v>4082.054191545</v>
      </c>
      <c r="G43" s="38" t="n">
        <f aca="false">G41*G39</f>
        <v>4370.97541369124</v>
      </c>
      <c r="H43" s="38" t="n">
        <f aca="false">H41*H39</f>
        <v>4722.10420820459</v>
      </c>
      <c r="I43" s="38" t="n">
        <f aca="false">I41*I39</f>
        <v>5083.42827419857</v>
      </c>
    </row>
    <row r="44" customFormat="false" ht="15" hidden="false" customHeight="false" outlineLevel="0" collapsed="false">
      <c r="A44" s="5" t="s">
        <v>158</v>
      </c>
      <c r="B44" s="24"/>
      <c r="C44" s="40" t="n">
        <f aca="false">BS!C18</f>
        <v>6485</v>
      </c>
      <c r="D44" s="40" t="n">
        <f aca="false">BS!D18</f>
        <v>7055</v>
      </c>
      <c r="E44" s="41" t="n">
        <f aca="false">E41+E42-E43</f>
        <v>7421.9167119</v>
      </c>
      <c r="F44" s="41" t="n">
        <f aca="false">F41+F42-F43</f>
        <v>7947.22802489316</v>
      </c>
      <c r="G44" s="41" t="n">
        <f aca="false">G41+G42-G43</f>
        <v>8585.64401491744</v>
      </c>
      <c r="H44" s="41" t="n">
        <f aca="false">H41+H42-H43</f>
        <v>9242.59686217922</v>
      </c>
      <c r="I44" s="41" t="n">
        <f aca="false">I41+I42-I43</f>
        <v>9859.6175596239</v>
      </c>
    </row>
    <row r="45" customFormat="false" ht="15" hidden="false" customHeight="false" outlineLevel="0" collapsed="false">
      <c r="A45" s="6" t="s">
        <v>159</v>
      </c>
      <c r="D45" s="26" t="n">
        <f aca="false">3424/7055</f>
        <v>0.48532955350815</v>
      </c>
      <c r="E45" s="26" t="n">
        <f aca="false">D45</f>
        <v>0.48532955350815</v>
      </c>
      <c r="F45" s="26" t="n">
        <f aca="false">E45</f>
        <v>0.48532955350815</v>
      </c>
      <c r="G45" s="26" t="n">
        <f aca="false">F45</f>
        <v>0.48532955350815</v>
      </c>
      <c r="H45" s="26" t="n">
        <f aca="false">G45</f>
        <v>0.48532955350815</v>
      </c>
      <c r="I45" s="26" t="n">
        <f aca="false">H45</f>
        <v>0.48532955350815</v>
      </c>
      <c r="J45" s="2" t="s">
        <v>160</v>
      </c>
    </row>
    <row r="46" customFormat="false" ht="15" hidden="false" customHeight="false" outlineLevel="0" collapsed="false">
      <c r="A46" s="39" t="s">
        <v>161</v>
      </c>
      <c r="D46" s="38" t="n">
        <f aca="false">D44*D45</f>
        <v>3424</v>
      </c>
      <c r="E46" s="38" t="n">
        <f aca="false">E44*E45</f>
        <v>3602.07552396111</v>
      </c>
      <c r="F46" s="38" t="n">
        <f aca="false">F44*F45</f>
        <v>3857.02462894886</v>
      </c>
      <c r="G46" s="38" t="n">
        <f aca="false">G44*G45</f>
        <v>4166.8667763398</v>
      </c>
      <c r="H46" s="38" t="n">
        <f aca="false">H44*H45</f>
        <v>4485.70540837727</v>
      </c>
      <c r="I46" s="38" t="n">
        <f aca="false">I44*I45</f>
        <v>4785.16378797338</v>
      </c>
    </row>
    <row r="47" customFormat="false" ht="15" hidden="false" customHeight="false" outlineLevel="0" collapsed="false">
      <c r="A47" s="39" t="s">
        <v>162</v>
      </c>
      <c r="D47" s="38" t="n">
        <f aca="false">D44-D46</f>
        <v>3631</v>
      </c>
      <c r="E47" s="38" t="n">
        <f aca="false">E44-E46</f>
        <v>3819.84118793889</v>
      </c>
      <c r="F47" s="38" t="n">
        <f aca="false">F44-F46</f>
        <v>4090.2033959443</v>
      </c>
      <c r="G47" s="38" t="n">
        <f aca="false">G44-G46</f>
        <v>4418.77723857764</v>
      </c>
      <c r="H47" s="38" t="n">
        <f aca="false">H44-H46</f>
        <v>4756.89145380195</v>
      </c>
      <c r="I47" s="38" t="n">
        <f aca="false">I44-I46</f>
        <v>5074.45377165051</v>
      </c>
    </row>
    <row r="48" customFormat="false" ht="15" hidden="false" customHeight="false" outlineLevel="0" collapsed="false">
      <c r="A48" s="42" t="s">
        <v>163</v>
      </c>
      <c r="C48" s="26" t="n">
        <f aca="false">C44/IS!C9</f>
        <v>0.0663834578769577</v>
      </c>
      <c r="D48" s="26" t="n">
        <f aca="false">D44/IS!D9</f>
        <v>0.074398641737058</v>
      </c>
      <c r="E48" s="26" t="n">
        <f aca="false">E44/IS!E9</f>
        <v>0.0733949296189388</v>
      </c>
      <c r="F48" s="26" t="n">
        <f aca="false">F44/IS!F9</f>
        <v>0.072445647456609</v>
      </c>
      <c r="G48" s="26" t="n">
        <f aca="false">G44/IS!G9</f>
        <v>0.0719842031826608</v>
      </c>
      <c r="H48" s="26" t="n">
        <f aca="false">H44/IS!H9</f>
        <v>0.0721667504562044</v>
      </c>
      <c r="I48" s="26" t="n">
        <f aca="false">I44/IS!I9</f>
        <v>0.0726440916433345</v>
      </c>
    </row>
    <row r="49" customFormat="false" ht="15" hidden="false" customHeight="false" outlineLevel="0" collapsed="false">
      <c r="A49" s="42" t="s">
        <v>164</v>
      </c>
      <c r="E49" s="26" t="n">
        <f aca="false">E43/IS!E9</f>
        <v>0.0383715806453696</v>
      </c>
      <c r="F49" s="26" t="n">
        <f aca="false">F43/IS!F9</f>
        <v>0.0372113468914109</v>
      </c>
      <c r="G49" s="26" t="n">
        <f aca="false">G43/IS!G9</f>
        <v>0.0366473594454744</v>
      </c>
      <c r="H49" s="26" t="n">
        <f aca="false">H43/IS!H9</f>
        <v>0.0368704727798054</v>
      </c>
      <c r="I49" s="26" t="n">
        <f aca="false">I43/IS!I9</f>
        <v>0.0374538897862977</v>
      </c>
      <c r="J49" s="2" t="s">
        <v>165</v>
      </c>
    </row>
    <row r="51" customFormat="false" ht="15" hidden="false" customHeight="false" outlineLevel="0" collapsed="false">
      <c r="A51" s="18" t="s">
        <v>166</v>
      </c>
      <c r="B51" s="19"/>
      <c r="C51" s="19"/>
      <c r="D51" s="19"/>
      <c r="E51" s="19"/>
      <c r="F51" s="19"/>
      <c r="G51" s="19"/>
      <c r="H51" s="19"/>
      <c r="I51" s="19"/>
      <c r="J51" s="19"/>
    </row>
    <row r="52" customFormat="false" ht="15" hidden="false" customHeight="false" outlineLevel="0" collapsed="false">
      <c r="A52" s="43" t="s">
        <v>167</v>
      </c>
    </row>
    <row r="53" customFormat="false" ht="15" hidden="false" customHeight="false" outlineLevel="0" collapsed="false">
      <c r="A53" s="39" t="s">
        <v>168</v>
      </c>
      <c r="B53" s="28" t="n">
        <v>2746</v>
      </c>
      <c r="C53" s="26" t="n">
        <f aca="false">B53/B$57</f>
        <v>0.296896961833712</v>
      </c>
      <c r="J53" s="2" t="s">
        <v>169</v>
      </c>
    </row>
    <row r="54" customFormat="false" ht="15" hidden="false" customHeight="false" outlineLevel="0" collapsed="false">
      <c r="A54" s="39" t="s">
        <v>170</v>
      </c>
      <c r="B54" s="28" t="n">
        <v>5794</v>
      </c>
      <c r="C54" s="26" t="n">
        <f aca="false">B54/B$57</f>
        <v>0.626446102281328</v>
      </c>
    </row>
    <row r="55" customFormat="false" ht="15" hidden="false" customHeight="false" outlineLevel="0" collapsed="false">
      <c r="A55" s="39" t="s">
        <v>171</v>
      </c>
      <c r="B55" s="28" t="n">
        <v>379</v>
      </c>
      <c r="C55" s="26" t="n">
        <f aca="false">B55/B$57</f>
        <v>0.0409774029624824</v>
      </c>
    </row>
    <row r="56" customFormat="false" ht="15" hidden="false" customHeight="false" outlineLevel="0" collapsed="false">
      <c r="A56" s="39" t="s">
        <v>172</v>
      </c>
      <c r="B56" s="28" t="n">
        <v>330</v>
      </c>
      <c r="C56" s="26" t="n">
        <f aca="false">B56/B$57</f>
        <v>0.0356795329224781</v>
      </c>
      <c r="J56" s="2" t="s">
        <v>173</v>
      </c>
    </row>
    <row r="57" customFormat="false" ht="15" hidden="false" customHeight="false" outlineLevel="0" collapsed="false">
      <c r="A57" s="5" t="s">
        <v>174</v>
      </c>
      <c r="B57" s="44" t="n">
        <f aca="false">SUM(B53:B56)</f>
        <v>9249</v>
      </c>
      <c r="C57" s="37" t="n">
        <f aca="false">SUM(C53:C56)</f>
        <v>1</v>
      </c>
    </row>
    <row r="59" customFormat="false" ht="15" hidden="false" customHeight="false" outlineLevel="0" collapsed="false">
      <c r="A59" s="5" t="s">
        <v>168</v>
      </c>
      <c r="J59" s="2" t="s">
        <v>175</v>
      </c>
    </row>
    <row r="60" customFormat="false" ht="15" hidden="false" customHeight="false" outlineLevel="0" collapsed="false">
      <c r="A60" s="39" t="s">
        <v>176</v>
      </c>
      <c r="E60" s="38" t="n">
        <f aca="false">D64</f>
        <v>2486.80895231917</v>
      </c>
      <c r="F60" s="38" t="n">
        <f aca="false">E64</f>
        <v>2767.74492377554</v>
      </c>
      <c r="G60" s="38" t="n">
        <f aca="false">F64</f>
        <v>3022.25970807655</v>
      </c>
      <c r="H60" s="38" t="n">
        <f aca="false">G64</f>
        <v>3162.2428394421</v>
      </c>
      <c r="I60" s="38" t="n">
        <f aca="false">H64</f>
        <v>3339.23356169316</v>
      </c>
    </row>
    <row r="61" customFormat="false" ht="15" hidden="false" customHeight="false" outlineLevel="0" collapsed="false">
      <c r="A61" s="39" t="s">
        <v>177</v>
      </c>
      <c r="E61" s="28" t="n">
        <v>1400</v>
      </c>
      <c r="F61" s="28" t="n">
        <v>1500</v>
      </c>
      <c r="G61" s="28" t="n">
        <v>1500</v>
      </c>
      <c r="H61" s="28" t="n">
        <v>1600</v>
      </c>
      <c r="I61" s="28" t="n">
        <v>1600</v>
      </c>
    </row>
    <row r="62" customFormat="false" ht="15" hidden="false" customHeight="false" outlineLevel="0" collapsed="false">
      <c r="A62" s="39" t="s">
        <v>178</v>
      </c>
      <c r="E62" s="22" t="n">
        <v>0.45</v>
      </c>
      <c r="F62" s="22" t="n">
        <v>0.45</v>
      </c>
      <c r="G62" s="22" t="n">
        <v>0.45</v>
      </c>
      <c r="H62" s="22" t="n">
        <v>0.45</v>
      </c>
      <c r="I62" s="22" t="n">
        <v>0.45</v>
      </c>
    </row>
    <row r="63" customFormat="false" ht="15" hidden="false" customHeight="false" outlineLevel="0" collapsed="false">
      <c r="A63" s="39" t="s">
        <v>179</v>
      </c>
      <c r="E63" s="38" t="n">
        <f aca="false">E60*E62</f>
        <v>1119.06402854363</v>
      </c>
      <c r="F63" s="38" t="n">
        <f aca="false">F60*F62</f>
        <v>1245.48521569899</v>
      </c>
      <c r="G63" s="38" t="n">
        <f aca="false">G60*G62</f>
        <v>1360.01686863445</v>
      </c>
      <c r="H63" s="38" t="n">
        <f aca="false">H60*H62</f>
        <v>1423.00927774895</v>
      </c>
      <c r="I63" s="38" t="n">
        <f aca="false">I60*I62</f>
        <v>1502.65510276192</v>
      </c>
    </row>
    <row r="64" customFormat="false" ht="15" hidden="false" customHeight="false" outlineLevel="0" collapsed="false">
      <c r="A64" s="23" t="s">
        <v>180</v>
      </c>
      <c r="B64" s="24"/>
      <c r="C64" s="24"/>
      <c r="D64" s="41" t="n">
        <f aca="false">BS!D19*C53</f>
        <v>2486.80895231917</v>
      </c>
      <c r="E64" s="41" t="n">
        <f aca="false">E60+E61-E63</f>
        <v>2767.74492377554</v>
      </c>
      <c r="F64" s="41" t="n">
        <f aca="false">F60+F61-F63</f>
        <v>3022.25970807655</v>
      </c>
      <c r="G64" s="41" t="n">
        <f aca="false">G60+G61-G63</f>
        <v>3162.2428394421</v>
      </c>
      <c r="H64" s="41" t="n">
        <f aca="false">H60+H61-H63</f>
        <v>3339.23356169316</v>
      </c>
      <c r="I64" s="41" t="n">
        <f aca="false">I60+I61-I63</f>
        <v>3436.57845893124</v>
      </c>
    </row>
    <row r="65" customFormat="false" ht="15" hidden="false" customHeight="false" outlineLevel="0" collapsed="false">
      <c r="A65" s="39" t="s">
        <v>181</v>
      </c>
      <c r="E65" s="35" t="n">
        <v>0.046</v>
      </c>
      <c r="F65" s="35" t="n">
        <v>0.046</v>
      </c>
      <c r="G65" s="35" t="n">
        <v>0.046</v>
      </c>
      <c r="H65" s="35" t="n">
        <v>0.046</v>
      </c>
      <c r="I65" s="35" t="n">
        <v>0.046</v>
      </c>
      <c r="J65" s="2" t="s">
        <v>182</v>
      </c>
    </row>
    <row r="66" customFormat="false" ht="15" hidden="false" customHeight="false" outlineLevel="0" collapsed="false">
      <c r="A66" s="39" t="s">
        <v>183</v>
      </c>
      <c r="E66" s="38" t="n">
        <f aca="false">E65*AVERAGE(E60,E64)</f>
        <v>120.854739150178</v>
      </c>
      <c r="F66" s="38" t="n">
        <f aca="false">F65*AVERAGE(F60,F64)</f>
        <v>133.170106532598</v>
      </c>
      <c r="G66" s="38" t="n">
        <f aca="false">G65*AVERAGE(G60,G64)</f>
        <v>142.243558592929</v>
      </c>
      <c r="H66" s="38" t="n">
        <f aca="false">H65*AVERAGE(H60,H64)</f>
        <v>149.533957226111</v>
      </c>
      <c r="I66" s="38" t="n">
        <f aca="false">I65*AVERAGE(I60,I64)</f>
        <v>155.843676474361</v>
      </c>
    </row>
    <row r="68" customFormat="false" ht="15" hidden="false" customHeight="false" outlineLevel="0" collapsed="false">
      <c r="A68" s="5" t="s">
        <v>170</v>
      </c>
      <c r="J68" s="2" t="s">
        <v>184</v>
      </c>
    </row>
    <row r="69" customFormat="false" ht="15" hidden="false" customHeight="false" outlineLevel="0" collapsed="false">
      <c r="A69" s="39" t="s">
        <v>176</v>
      </c>
      <c r="E69" s="38" t="n">
        <f aca="false">D73</f>
        <v>5247.1125527084</v>
      </c>
      <c r="F69" s="38" t="n">
        <f aca="false">E73</f>
        <v>5247.1125527084</v>
      </c>
      <c r="G69" s="38" t="n">
        <f aca="false">F73</f>
        <v>5247.1125527084</v>
      </c>
      <c r="H69" s="38" t="n">
        <f aca="false">G73</f>
        <v>5247.1125527084</v>
      </c>
      <c r="I69" s="38" t="n">
        <f aca="false">H73</f>
        <v>5247.1125527084</v>
      </c>
    </row>
    <row r="70" customFormat="false" ht="15" hidden="false" customHeight="false" outlineLevel="0" collapsed="false">
      <c r="A70" s="39" t="s">
        <v>177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</row>
    <row r="71" customFormat="false" ht="15" hidden="false" customHeight="false" outlineLevel="0" collapsed="false">
      <c r="A71" s="39" t="s">
        <v>178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</row>
    <row r="72" customFormat="false" ht="15" hidden="false" customHeight="false" outlineLevel="0" collapsed="false">
      <c r="A72" s="39" t="s">
        <v>179</v>
      </c>
      <c r="E72" s="38" t="n">
        <f aca="false">E69*E71</f>
        <v>0</v>
      </c>
      <c r="F72" s="38" t="n">
        <f aca="false">F69*F71</f>
        <v>0</v>
      </c>
      <c r="G72" s="38" t="n">
        <f aca="false">G69*G71</f>
        <v>0</v>
      </c>
      <c r="H72" s="38" t="n">
        <f aca="false">H69*H71</f>
        <v>0</v>
      </c>
      <c r="I72" s="38" t="n">
        <f aca="false">I69*I71</f>
        <v>0</v>
      </c>
    </row>
    <row r="73" customFormat="false" ht="15" hidden="false" customHeight="false" outlineLevel="0" collapsed="false">
      <c r="A73" s="23" t="s">
        <v>180</v>
      </c>
      <c r="B73" s="24"/>
      <c r="C73" s="24"/>
      <c r="D73" s="41" t="n">
        <f aca="false">BS!D19*C54</f>
        <v>5247.1125527084</v>
      </c>
      <c r="E73" s="41" t="n">
        <f aca="false">E69+E70-E72</f>
        <v>5247.1125527084</v>
      </c>
      <c r="F73" s="41" t="n">
        <f aca="false">F69+F70-F72</f>
        <v>5247.1125527084</v>
      </c>
      <c r="G73" s="41" t="n">
        <f aca="false">G69+G70-G72</f>
        <v>5247.1125527084</v>
      </c>
      <c r="H73" s="41" t="n">
        <f aca="false">H69+H70-H72</f>
        <v>5247.1125527084</v>
      </c>
      <c r="I73" s="41" t="n">
        <f aca="false">I69+I70-I72</f>
        <v>5247.1125527084</v>
      </c>
    </row>
    <row r="74" customFormat="false" ht="15" hidden="false" customHeight="false" outlineLevel="0" collapsed="false">
      <c r="A74" s="39" t="s">
        <v>181</v>
      </c>
      <c r="E74" s="35" t="n">
        <v>0.038</v>
      </c>
      <c r="F74" s="35" t="n">
        <v>0.038</v>
      </c>
      <c r="G74" s="35" t="n">
        <v>0.038</v>
      </c>
      <c r="H74" s="35" t="n">
        <v>0.038</v>
      </c>
      <c r="I74" s="35" t="n">
        <v>0.038</v>
      </c>
      <c r="J74" s="2" t="s">
        <v>182</v>
      </c>
    </row>
    <row r="75" customFormat="false" ht="15" hidden="false" customHeight="false" outlineLevel="0" collapsed="false">
      <c r="A75" s="39" t="s">
        <v>183</v>
      </c>
      <c r="E75" s="38" t="n">
        <f aca="false">E74*AVERAGE(E69,E73)</f>
        <v>199.390277002919</v>
      </c>
      <c r="F75" s="38" t="n">
        <f aca="false">F74*AVERAGE(F69,F73)</f>
        <v>199.390277002919</v>
      </c>
      <c r="G75" s="38" t="n">
        <f aca="false">G74*AVERAGE(G69,G73)</f>
        <v>199.390277002919</v>
      </c>
      <c r="H75" s="38" t="n">
        <f aca="false">H74*AVERAGE(H69,H73)</f>
        <v>199.390277002919</v>
      </c>
      <c r="I75" s="38" t="n">
        <f aca="false">I74*AVERAGE(I69,I73)</f>
        <v>199.390277002919</v>
      </c>
    </row>
    <row r="77" customFormat="false" ht="15" hidden="false" customHeight="false" outlineLevel="0" collapsed="false">
      <c r="A77" s="5" t="s">
        <v>171</v>
      </c>
      <c r="J77" s="2" t="s">
        <v>185</v>
      </c>
    </row>
    <row r="78" customFormat="false" ht="15" hidden="false" customHeight="false" outlineLevel="0" collapsed="false">
      <c r="A78" s="39" t="s">
        <v>176</v>
      </c>
      <c r="E78" s="38" t="n">
        <f aca="false">D82</f>
        <v>343.226727213753</v>
      </c>
      <c r="F78" s="38" t="n">
        <f aca="false">E82</f>
        <v>402.039519948103</v>
      </c>
      <c r="G78" s="38" t="n">
        <f aca="false">F82</f>
        <v>453.79477755433</v>
      </c>
      <c r="H78" s="38" t="n">
        <f aca="false">G82</f>
        <v>499.339404247811</v>
      </c>
      <c r="I78" s="38" t="n">
        <f aca="false">H82</f>
        <v>539.418675738073</v>
      </c>
    </row>
    <row r="79" customFormat="false" ht="15" hidden="false" customHeight="false" outlineLevel="0" collapsed="false">
      <c r="A79" s="39" t="s">
        <v>177</v>
      </c>
      <c r="E79" s="28" t="n">
        <v>100</v>
      </c>
      <c r="F79" s="28" t="n">
        <v>100</v>
      </c>
      <c r="G79" s="28" t="n">
        <v>100</v>
      </c>
      <c r="H79" s="28" t="n">
        <v>100</v>
      </c>
      <c r="I79" s="28" t="n">
        <v>100</v>
      </c>
    </row>
    <row r="80" customFormat="false" ht="15" hidden="false" customHeight="false" outlineLevel="0" collapsed="false">
      <c r="A80" s="39" t="s">
        <v>178</v>
      </c>
      <c r="E80" s="22" t="n">
        <v>0.12</v>
      </c>
      <c r="F80" s="22" t="n">
        <v>0.12</v>
      </c>
      <c r="G80" s="22" t="n">
        <v>0.12</v>
      </c>
      <c r="H80" s="22" t="n">
        <v>0.12</v>
      </c>
      <c r="I80" s="22" t="n">
        <v>0.12</v>
      </c>
    </row>
    <row r="81" customFormat="false" ht="15" hidden="false" customHeight="false" outlineLevel="0" collapsed="false">
      <c r="A81" s="39" t="s">
        <v>179</v>
      </c>
      <c r="E81" s="38" t="n">
        <f aca="false">E78*E80</f>
        <v>41.1872072656503</v>
      </c>
      <c r="F81" s="38" t="n">
        <f aca="false">F78*F80</f>
        <v>48.2447423937723</v>
      </c>
      <c r="G81" s="38" t="n">
        <f aca="false">G78*G80</f>
        <v>54.4553733065196</v>
      </c>
      <c r="H81" s="38" t="n">
        <f aca="false">H78*H80</f>
        <v>59.9207285097373</v>
      </c>
      <c r="I81" s="38" t="n">
        <f aca="false">I78*I80</f>
        <v>64.7302410885688</v>
      </c>
    </row>
    <row r="82" customFormat="false" ht="15" hidden="false" customHeight="false" outlineLevel="0" collapsed="false">
      <c r="A82" s="23" t="s">
        <v>180</v>
      </c>
      <c r="B82" s="24"/>
      <c r="C82" s="24"/>
      <c r="D82" s="41" t="n">
        <f aca="false">BS!D19*C55</f>
        <v>343.226727213753</v>
      </c>
      <c r="E82" s="41" t="n">
        <f aca="false">E78+E79-E81</f>
        <v>402.039519948103</v>
      </c>
      <c r="F82" s="41" t="n">
        <f aca="false">F78+F79-F81</f>
        <v>453.79477755433</v>
      </c>
      <c r="G82" s="41" t="n">
        <f aca="false">G78+G79-G81</f>
        <v>499.339404247811</v>
      </c>
      <c r="H82" s="41" t="n">
        <f aca="false">H78+H79-H81</f>
        <v>539.418675738073</v>
      </c>
      <c r="I82" s="41" t="n">
        <f aca="false">I78+I79-I81</f>
        <v>574.688434649505</v>
      </c>
    </row>
    <row r="83" customFormat="false" ht="15" hidden="false" customHeight="false" outlineLevel="0" collapsed="false">
      <c r="A83" s="39" t="s">
        <v>181</v>
      </c>
      <c r="E83" s="35" t="n">
        <v>0.055</v>
      </c>
      <c r="F83" s="35" t="n">
        <v>0.055</v>
      </c>
      <c r="G83" s="35" t="n">
        <v>0.055</v>
      </c>
      <c r="H83" s="35" t="n">
        <v>0.055</v>
      </c>
      <c r="I83" s="35" t="n">
        <v>0.055</v>
      </c>
      <c r="J83" s="2" t="s">
        <v>182</v>
      </c>
    </row>
    <row r="84" customFormat="false" ht="15" hidden="false" customHeight="false" outlineLevel="0" collapsed="false">
      <c r="A84" s="39" t="s">
        <v>183</v>
      </c>
      <c r="E84" s="38" t="n">
        <f aca="false">E83*AVERAGE(E78,E82)</f>
        <v>20.494821796951</v>
      </c>
      <c r="F84" s="38" t="n">
        <f aca="false">F83*AVERAGE(F78,F82)</f>
        <v>23.5354431813169</v>
      </c>
      <c r="G84" s="38" t="n">
        <f aca="false">G83*AVERAGE(G78,G82)</f>
        <v>26.2111899995589</v>
      </c>
      <c r="H84" s="38" t="n">
        <f aca="false">H83*AVERAGE(H78,H82)</f>
        <v>28.5658471996118</v>
      </c>
      <c r="I84" s="38" t="n">
        <f aca="false">I83*AVERAGE(I78,I82)</f>
        <v>30.6379455356584</v>
      </c>
    </row>
    <row r="86" customFormat="false" ht="15" hidden="false" customHeight="false" outlineLevel="0" collapsed="false">
      <c r="A86" s="5" t="s">
        <v>172</v>
      </c>
      <c r="J86" s="2" t="s">
        <v>186</v>
      </c>
    </row>
    <row r="87" customFormat="false" ht="15" hidden="false" customHeight="false" outlineLevel="0" collapsed="false">
      <c r="A87" s="39" t="s">
        <v>176</v>
      </c>
      <c r="E87" s="38" t="n">
        <f aca="false">D91</f>
        <v>298.851767758677</v>
      </c>
      <c r="F87" s="38" t="n">
        <f aca="false">E91</f>
        <v>264.138825819008</v>
      </c>
      <c r="G87" s="38" t="n">
        <f aca="false">F91</f>
        <v>238.104119364256</v>
      </c>
      <c r="H87" s="38" t="n">
        <f aca="false">G91</f>
        <v>218.578089523192</v>
      </c>
      <c r="I87" s="38" t="n">
        <f aca="false">H91</f>
        <v>203.933567142394</v>
      </c>
    </row>
    <row r="88" customFormat="false" ht="15" hidden="false" customHeight="false" outlineLevel="0" collapsed="false">
      <c r="A88" s="39" t="s">
        <v>177</v>
      </c>
      <c r="E88" s="28" t="n">
        <v>40</v>
      </c>
      <c r="F88" s="28" t="n">
        <v>40</v>
      </c>
      <c r="G88" s="28" t="n">
        <v>40</v>
      </c>
      <c r="H88" s="28" t="n">
        <v>40</v>
      </c>
      <c r="I88" s="28" t="n">
        <v>40</v>
      </c>
    </row>
    <row r="89" customFormat="false" ht="15" hidden="false" customHeight="false" outlineLevel="0" collapsed="false">
      <c r="A89" s="39" t="s">
        <v>178</v>
      </c>
      <c r="E89" s="22" t="n">
        <v>0.25</v>
      </c>
      <c r="F89" s="22" t="n">
        <v>0.25</v>
      </c>
      <c r="G89" s="22" t="n">
        <v>0.25</v>
      </c>
      <c r="H89" s="22" t="n">
        <v>0.25</v>
      </c>
      <c r="I89" s="22" t="n">
        <v>0.25</v>
      </c>
    </row>
    <row r="90" customFormat="false" ht="15" hidden="false" customHeight="false" outlineLevel="0" collapsed="false">
      <c r="A90" s="39" t="s">
        <v>179</v>
      </c>
      <c r="E90" s="38" t="n">
        <f aca="false">E87*E89</f>
        <v>74.7129419396692</v>
      </c>
      <c r="F90" s="38" t="n">
        <f aca="false">F87*F89</f>
        <v>66.0347064547519</v>
      </c>
      <c r="G90" s="38" t="n">
        <f aca="false">G87*G89</f>
        <v>59.5260298410639</v>
      </c>
      <c r="H90" s="38" t="n">
        <f aca="false">H87*H89</f>
        <v>54.6445223807979</v>
      </c>
      <c r="I90" s="38" t="n">
        <f aca="false">I87*I89</f>
        <v>50.9833917855984</v>
      </c>
    </row>
    <row r="91" customFormat="false" ht="15" hidden="false" customHeight="false" outlineLevel="0" collapsed="false">
      <c r="A91" s="23" t="s">
        <v>180</v>
      </c>
      <c r="B91" s="24"/>
      <c r="C91" s="24"/>
      <c r="D91" s="41" t="n">
        <f aca="false">BS!D19*C56</f>
        <v>298.851767758677</v>
      </c>
      <c r="E91" s="41" t="n">
        <f aca="false">E87+E88-E90</f>
        <v>264.138825819008</v>
      </c>
      <c r="F91" s="41" t="n">
        <f aca="false">F87+F88-F90</f>
        <v>238.104119364256</v>
      </c>
      <c r="G91" s="41" t="n">
        <f aca="false">G87+G88-G90</f>
        <v>218.578089523192</v>
      </c>
      <c r="H91" s="41" t="n">
        <f aca="false">H87+H88-H90</f>
        <v>203.933567142394</v>
      </c>
      <c r="I91" s="41" t="n">
        <f aca="false">I87+I88-I90</f>
        <v>192.950175356795</v>
      </c>
    </row>
    <row r="92" customFormat="false" ht="15" hidden="false" customHeight="false" outlineLevel="0" collapsed="false">
      <c r="A92" s="39" t="s">
        <v>181</v>
      </c>
      <c r="E92" s="35" t="n">
        <v>0.06</v>
      </c>
      <c r="F92" s="35" t="n">
        <v>0.06</v>
      </c>
      <c r="G92" s="35" t="n">
        <v>0.06</v>
      </c>
      <c r="H92" s="35" t="n">
        <v>0.06</v>
      </c>
      <c r="I92" s="35" t="n">
        <v>0.06</v>
      </c>
      <c r="J92" s="2" t="s">
        <v>182</v>
      </c>
    </row>
    <row r="93" customFormat="false" ht="15" hidden="false" customHeight="false" outlineLevel="0" collapsed="false">
      <c r="A93" s="39" t="s">
        <v>183</v>
      </c>
      <c r="E93" s="38" t="n">
        <f aca="false">E92*AVERAGE(E87,E91)</f>
        <v>16.8897178073305</v>
      </c>
      <c r="F93" s="38" t="n">
        <f aca="false">F92*AVERAGE(F87,F91)</f>
        <v>15.0672883554979</v>
      </c>
      <c r="G93" s="38" t="n">
        <f aca="false">G92*AVERAGE(G87,G91)</f>
        <v>13.7004662666234</v>
      </c>
      <c r="H93" s="38" t="n">
        <f aca="false">H92*AVERAGE(H87,H91)</f>
        <v>12.6753496999676</v>
      </c>
      <c r="I93" s="38" t="n">
        <f aca="false">I92*AVERAGE(I87,I91)</f>
        <v>11.9065122749757</v>
      </c>
    </row>
    <row r="95" customFormat="false" ht="15" hidden="false" customHeight="false" outlineLevel="0" collapsed="false">
      <c r="A95" s="18" t="s">
        <v>187</v>
      </c>
      <c r="B95" s="19"/>
      <c r="C95" s="19"/>
      <c r="D95" s="19"/>
      <c r="E95" s="19"/>
      <c r="F95" s="19"/>
      <c r="G95" s="19"/>
      <c r="H95" s="19"/>
      <c r="I95" s="19"/>
      <c r="J95" s="19"/>
    </row>
    <row r="96" customFormat="false" ht="15" hidden="false" customHeight="false" outlineLevel="0" collapsed="false">
      <c r="A96" s="39" t="s">
        <v>176</v>
      </c>
      <c r="E96" s="38" t="n">
        <f aca="false">E60+E69+E78+E87</f>
        <v>8376</v>
      </c>
      <c r="F96" s="38" t="n">
        <f aca="false">F60+F69+F78+F87</f>
        <v>8681.03582225105</v>
      </c>
      <c r="G96" s="38" t="n">
        <f aca="false">G60+G69+G78+G87</f>
        <v>8961.27115770354</v>
      </c>
      <c r="H96" s="38" t="n">
        <f aca="false">H60+H69+H78+H87</f>
        <v>9127.2728859215</v>
      </c>
      <c r="I96" s="38" t="n">
        <f aca="false">I60+I69+I78+I87</f>
        <v>9329.69835728203</v>
      </c>
    </row>
    <row r="97" customFormat="false" ht="15" hidden="false" customHeight="false" outlineLevel="0" collapsed="false">
      <c r="A97" s="39" t="s">
        <v>188</v>
      </c>
      <c r="E97" s="38" t="n">
        <f aca="false">E61+E70+E79+E88</f>
        <v>1540</v>
      </c>
      <c r="F97" s="38" t="n">
        <f aca="false">F61+F70+F79+F88</f>
        <v>1640</v>
      </c>
      <c r="G97" s="38" t="n">
        <f aca="false">G61+G70+G79+G88</f>
        <v>1640</v>
      </c>
      <c r="H97" s="38" t="n">
        <f aca="false">H61+H70+H79+H88</f>
        <v>1740</v>
      </c>
      <c r="I97" s="38" t="n">
        <f aca="false">I61+I70+I79+I88</f>
        <v>1740</v>
      </c>
    </row>
    <row r="98" customFormat="false" ht="15" hidden="false" customHeight="false" outlineLevel="0" collapsed="false">
      <c r="A98" s="39" t="s">
        <v>179</v>
      </c>
      <c r="E98" s="38" t="n">
        <f aca="false">E63+E72+E81+E90</f>
        <v>1234.96417774895</v>
      </c>
      <c r="F98" s="38" t="n">
        <f aca="false">F63+F72+F81+F90</f>
        <v>1359.76466454752</v>
      </c>
      <c r="G98" s="38" t="n">
        <f aca="false">G63+G72+G81+G90</f>
        <v>1473.99827178203</v>
      </c>
      <c r="H98" s="38" t="n">
        <f aca="false">H63+H72+H81+H90</f>
        <v>1537.57452863948</v>
      </c>
      <c r="I98" s="38" t="n">
        <f aca="false">I63+I72+I81+I90</f>
        <v>1618.36873563609</v>
      </c>
    </row>
    <row r="99" customFormat="false" ht="15" hidden="false" customHeight="false" outlineLevel="0" collapsed="false">
      <c r="A99" s="5" t="s">
        <v>189</v>
      </c>
      <c r="B99" s="24"/>
      <c r="C99" s="40" t="n">
        <f aca="false">BS!C19</f>
        <v>8213</v>
      </c>
      <c r="D99" s="41" t="n">
        <f aca="false">D64+D73+D82+D91</f>
        <v>8376</v>
      </c>
      <c r="E99" s="41" t="n">
        <f aca="false">E64+E73+E82+E91</f>
        <v>8681.03582225105</v>
      </c>
      <c r="F99" s="41" t="n">
        <f aca="false">F64+F73+F82+F91</f>
        <v>8961.27115770354</v>
      </c>
      <c r="G99" s="41" t="n">
        <f aca="false">G64+G73+G82+G91</f>
        <v>9127.2728859215</v>
      </c>
      <c r="H99" s="41" t="n">
        <f aca="false">H64+H73+H82+H91</f>
        <v>9329.69835728203</v>
      </c>
      <c r="I99" s="41" t="n">
        <f aca="false">I64+I73+I82+I91</f>
        <v>9451.32962164594</v>
      </c>
    </row>
    <row r="100" customFormat="false" ht="15" hidden="false" customHeight="false" outlineLevel="0" collapsed="false">
      <c r="A100" s="39" t="s">
        <v>190</v>
      </c>
      <c r="E100" s="38" t="n">
        <f aca="false">E97-E98</f>
        <v>305.035822251054</v>
      </c>
      <c r="F100" s="38" t="n">
        <f aca="false">F97-F98</f>
        <v>280.235335452482</v>
      </c>
      <c r="G100" s="38" t="n">
        <f aca="false">G97-G98</f>
        <v>166.00172821797</v>
      </c>
      <c r="H100" s="38" t="n">
        <f aca="false">H97-H98</f>
        <v>202.425471360519</v>
      </c>
      <c r="I100" s="38" t="n">
        <f aca="false">I97-I98</f>
        <v>121.631264363912</v>
      </c>
    </row>
    <row r="101" customFormat="false" ht="15" hidden="false" customHeight="false" outlineLevel="0" collapsed="false">
      <c r="A101" s="39" t="s">
        <v>191</v>
      </c>
      <c r="E101" s="38" t="n">
        <f aca="false">E66+E75+E84+E93</f>
        <v>357.629555757379</v>
      </c>
      <c r="F101" s="38" t="n">
        <f aca="false">F66+F75+F84+F93</f>
        <v>371.163115072332</v>
      </c>
      <c r="G101" s="38" t="n">
        <f aca="false">G66+G75+G84+G93</f>
        <v>381.545491862031</v>
      </c>
      <c r="H101" s="38" t="n">
        <f aca="false">H66+H75+H84+H93</f>
        <v>390.16543112861</v>
      </c>
      <c r="I101" s="38" t="n">
        <f aca="false">I66+I75+I84+I93</f>
        <v>397.778411287914</v>
      </c>
    </row>
    <row r="102" customFormat="false" ht="15" hidden="false" customHeight="false" outlineLevel="0" collapsed="false">
      <c r="A102" s="42" t="s">
        <v>192</v>
      </c>
      <c r="E102" s="45" t="n">
        <f aca="false">E101/AVERAGE(E96,E99)</f>
        <v>0.0419333768755821</v>
      </c>
      <c r="F102" s="45" t="n">
        <f aca="false">F101/AVERAGE(F96,F99)</f>
        <v>0.0420764830239098</v>
      </c>
      <c r="G102" s="45" t="n">
        <f aca="false">G101/AVERAGE(G96,G99)</f>
        <v>0.0421864237322626</v>
      </c>
      <c r="H102" s="45" t="n">
        <f aca="false">H101/AVERAGE(H96,H99)</f>
        <v>0.0422783809962625</v>
      </c>
      <c r="I102" s="45" t="n">
        <f aca="false">I101/AVERAGE(I96,I99)</f>
        <v>0.0423595994568791</v>
      </c>
    </row>
    <row r="103" customFormat="false" ht="15" hidden="false" customHeight="false" outlineLevel="0" collapsed="false">
      <c r="A103" s="42" t="s">
        <v>193</v>
      </c>
      <c r="D103" s="46" t="n">
        <f aca="false">D99/IS!D38</f>
        <v>0.797486432447872</v>
      </c>
      <c r="E103" s="46" t="n">
        <f aca="false">E99/IS!E38</f>
        <v>0.737632962888687</v>
      </c>
      <c r="F103" s="46" t="n">
        <f aca="false">F99/IS!F38</f>
        <v>0.591695835571388</v>
      </c>
      <c r="G103" s="46" t="n">
        <f aca="false">G99/IS!G38</f>
        <v>0.505053785308101</v>
      </c>
      <c r="H103" s="46" t="n">
        <f aca="false">H99/IS!H38</f>
        <v>0.453209968141917</v>
      </c>
      <c r="I103" s="46" t="n">
        <f aca="false">I99/IS!I38</f>
        <v>0.416209038498629</v>
      </c>
    </row>
    <row r="104" customFormat="false" ht="15" hidden="false" customHeight="false" outlineLevel="0" collapsed="false">
      <c r="A104" s="42" t="s">
        <v>194</v>
      </c>
      <c r="D104" s="46" t="n">
        <f aca="false">IS!D21/IS!D24</f>
        <v>12.8846153846154</v>
      </c>
      <c r="E104" s="46" t="n">
        <f aca="false">IS!E21/IS!E24</f>
        <v>14.6746938811746</v>
      </c>
      <c r="F104" s="46" t="n">
        <f aca="false">IS!F21/IS!F24</f>
        <v>18.259229394089</v>
      </c>
      <c r="G104" s="46" t="n">
        <f aca="false">IS!G21/IS!G24</f>
        <v>22.3041743942831</v>
      </c>
      <c r="H104" s="46" t="n">
        <f aca="false">IS!H21/IS!H24</f>
        <v>26.4730607862414</v>
      </c>
      <c r="I104" s="46" t="n">
        <f aca="false">IS!I21/IS!I24</f>
        <v>30.2590459503693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195</v>
      </c>
    </row>
    <row r="2" customFormat="false" ht="15" hidden="false" customHeight="false" outlineLevel="0" collapsed="false">
      <c r="A2" s="2" t="s">
        <v>196</v>
      </c>
    </row>
    <row r="5" customFormat="false" ht="15" hidden="false" customHeight="false" outlineLevel="0" collapsed="false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customFormat="false" ht="15" hidden="false" customHeight="false" outlineLevel="0" collapsed="false">
      <c r="A6" s="6" t="s">
        <v>197</v>
      </c>
      <c r="B6" s="28" t="n">
        <v>82419</v>
      </c>
      <c r="C6" s="28" t="n">
        <v>77070</v>
      </c>
      <c r="D6" s="28" t="n">
        <v>69526</v>
      </c>
      <c r="E6" s="27" t="n">
        <f aca="false">Schedules!E19</f>
        <v>70731.45495</v>
      </c>
      <c r="F6" s="27" t="n">
        <f aca="false">Schedules!F19</f>
        <v>73820.72027948</v>
      </c>
      <c r="G6" s="27" t="n">
        <f aca="false">Schedules!G19</f>
        <v>77920.3238563886</v>
      </c>
      <c r="H6" s="27" t="n">
        <f aca="false">Schedules!H19</f>
        <v>81607.1881787505</v>
      </c>
      <c r="I6" s="27" t="n">
        <f aca="false">Schedules!I19</f>
        <v>84671.7778623542</v>
      </c>
      <c r="J6" s="2" t="s">
        <v>198</v>
      </c>
    </row>
    <row r="7" customFormat="false" ht="15" hidden="false" customHeight="false" outlineLevel="0" collapsed="false">
      <c r="A7" s="6" t="s">
        <v>199</v>
      </c>
      <c r="B7" s="28" t="n">
        <v>6035</v>
      </c>
      <c r="C7" s="28" t="n">
        <v>10086</v>
      </c>
      <c r="D7" s="28" t="n">
        <v>12771</v>
      </c>
      <c r="E7" s="27" t="n">
        <f aca="false">Schedules!E34</f>
        <v>15606.162</v>
      </c>
      <c r="F7" s="27" t="n">
        <f aca="false">Schedules!F34</f>
        <v>18727.3944</v>
      </c>
      <c r="G7" s="27" t="n">
        <f aca="false">Schedules!G34</f>
        <v>21798.6870816</v>
      </c>
      <c r="H7" s="27" t="n">
        <f aca="false">Schedules!H34</f>
        <v>24567.1203409632</v>
      </c>
      <c r="I7" s="27" t="n">
        <f aca="false">Schedules!I34</f>
        <v>26964.8712862412</v>
      </c>
      <c r="J7" s="2" t="s">
        <v>200</v>
      </c>
    </row>
    <row r="8" customFormat="false" ht="15" hidden="false" customHeight="false" outlineLevel="0" collapsed="false">
      <c r="A8" s="6" t="s">
        <v>201</v>
      </c>
      <c r="B8" s="28" t="n">
        <v>8319</v>
      </c>
      <c r="C8" s="28" t="n">
        <v>10534</v>
      </c>
      <c r="D8" s="28" t="n">
        <v>12530</v>
      </c>
      <c r="E8" s="38" t="n">
        <f aca="false">D8*(1+Assumptions!E24)</f>
        <v>14785.4</v>
      </c>
      <c r="F8" s="38" t="n">
        <f aca="false">E8*(1+Assumptions!F24)</f>
        <v>17151.064</v>
      </c>
      <c r="G8" s="38" t="n">
        <f aca="false">F8*(1+Assumptions!G24)</f>
        <v>19552.21296</v>
      </c>
      <c r="H8" s="38" t="n">
        <f aca="false">G8*(1+Assumptions!H24)</f>
        <v>21898.4785152</v>
      </c>
      <c r="I8" s="38" t="n">
        <f aca="false">H8*(1+Assumptions!I24)</f>
        <v>24088.32636672</v>
      </c>
      <c r="J8" s="2" t="s">
        <v>202</v>
      </c>
    </row>
    <row r="9" customFormat="false" ht="15" hidden="false" customHeight="false" outlineLevel="0" collapsed="false">
      <c r="A9" s="5" t="s">
        <v>203</v>
      </c>
      <c r="B9" s="41" t="n">
        <f aca="false">SUM(B6:B8)</f>
        <v>96773</v>
      </c>
      <c r="C9" s="41" t="n">
        <f aca="false">SUM(C6:C8)</f>
        <v>97690</v>
      </c>
      <c r="D9" s="41" t="n">
        <f aca="false">SUM(D6:D8)</f>
        <v>94827</v>
      </c>
      <c r="E9" s="41" t="n">
        <f aca="false">SUM(E6:E8)</f>
        <v>101123.01695</v>
      </c>
      <c r="F9" s="41" t="n">
        <f aca="false">SUM(F6:F8)</f>
        <v>109699.17867948</v>
      </c>
      <c r="G9" s="41" t="n">
        <f aca="false">SUM(G6:G8)</f>
        <v>119271.223897989</v>
      </c>
      <c r="H9" s="41" t="n">
        <f aca="false">SUM(H6:H8)</f>
        <v>128072.787034914</v>
      </c>
      <c r="I9" s="41" t="n">
        <f aca="false">SUM(I6:I8)</f>
        <v>135724.975515315</v>
      </c>
      <c r="J9" s="2" t="s">
        <v>204</v>
      </c>
    </row>
    <row r="11" customFormat="false" ht="15" hidden="false" customHeight="false" outlineLevel="0" collapsed="false">
      <c r="A11" s="39" t="s">
        <v>205</v>
      </c>
      <c r="D11" s="28" t="n">
        <v>57165</v>
      </c>
      <c r="E11" s="38" t="n">
        <f aca="false">E6*(1-Assumptions!E30)</f>
        <v>57999.793059</v>
      </c>
      <c r="F11" s="38" t="n">
        <f aca="false">F6*(1-Assumptions!F30)</f>
        <v>60163.8870277762</v>
      </c>
      <c r="G11" s="38" t="n">
        <f aca="false">G6*(1-Assumptions!G30)</f>
        <v>63115.4623236747</v>
      </c>
      <c r="H11" s="38" t="n">
        <f aca="false">H6*(1-Assumptions!H30)</f>
        <v>65693.7864838942</v>
      </c>
      <c r="I11" s="38" t="n">
        <f aca="false">I6*(1-Assumptions!I30)</f>
        <v>67737.4222898833</v>
      </c>
      <c r="J11" s="2" t="s">
        <v>206</v>
      </c>
    </row>
    <row r="12" customFormat="false" ht="15" hidden="false" customHeight="false" outlineLevel="0" collapsed="false">
      <c r="A12" s="39" t="s">
        <v>207</v>
      </c>
      <c r="D12" s="28" t="n">
        <v>8969</v>
      </c>
      <c r="E12" s="38" t="n">
        <f aca="false">E7*(1-Assumptions!E36)</f>
        <v>10924.3134</v>
      </c>
      <c r="F12" s="38" t="n">
        <f aca="false">F7*(1-Assumptions!F36)</f>
        <v>13109.17608</v>
      </c>
      <c r="G12" s="38" t="n">
        <f aca="false">G7*(1-Assumptions!G36)</f>
        <v>15259.08095712</v>
      </c>
      <c r="H12" s="38" t="n">
        <f aca="false">H7*(1-Assumptions!H36)</f>
        <v>17319.8198403791</v>
      </c>
      <c r="I12" s="38" t="n">
        <f aca="false">I7*(1-Assumptions!I36)</f>
        <v>19145.0586132313</v>
      </c>
      <c r="J12" s="2" t="s">
        <v>208</v>
      </c>
    </row>
    <row r="13" customFormat="false" ht="15" hidden="false" customHeight="false" outlineLevel="0" collapsed="false">
      <c r="A13" s="39" t="s">
        <v>209</v>
      </c>
      <c r="D13" s="28" t="n">
        <v>11599</v>
      </c>
      <c r="E13" s="38" t="n">
        <f aca="false">E8*(1-Assumptions!E42)</f>
        <v>13602.568</v>
      </c>
      <c r="F13" s="38" t="n">
        <f aca="false">F8*(1-Assumptions!F42)</f>
        <v>15607.46824</v>
      </c>
      <c r="G13" s="38" t="n">
        <f aca="false">G8*(1-Assumptions!G42)</f>
        <v>17596.991664</v>
      </c>
      <c r="H13" s="38" t="n">
        <f aca="false">H8*(1-Assumptions!H42)</f>
        <v>19489.645878528</v>
      </c>
      <c r="I13" s="38" t="n">
        <f aca="false">I8*(1-Assumptions!I42)</f>
        <v>21197.7272027136</v>
      </c>
      <c r="J13" s="2" t="s">
        <v>208</v>
      </c>
    </row>
    <row r="14" customFormat="false" ht="15" hidden="false" customHeight="false" outlineLevel="0" collapsed="false">
      <c r="A14" s="6" t="s">
        <v>210</v>
      </c>
      <c r="B14" s="47" t="n">
        <v>79113</v>
      </c>
      <c r="C14" s="47" t="n">
        <v>80240</v>
      </c>
      <c r="D14" s="48" t="n">
        <f aca="false">SUM(D11:D13)</f>
        <v>77733</v>
      </c>
      <c r="E14" s="48" t="n">
        <f aca="false">SUM(E11:E13)</f>
        <v>82526.674459</v>
      </c>
      <c r="F14" s="48" t="n">
        <f aca="false">SUM(F11:F13)</f>
        <v>88880.5313477762</v>
      </c>
      <c r="G14" s="48" t="n">
        <f aca="false">SUM(G11:G13)</f>
        <v>95971.5349447947</v>
      </c>
      <c r="H14" s="48" t="n">
        <f aca="false">SUM(H11:H13)</f>
        <v>102503.252202801</v>
      </c>
      <c r="I14" s="48" t="n">
        <f aca="false">SUM(I11:I13)</f>
        <v>108080.208105828</v>
      </c>
      <c r="J14" s="2" t="s">
        <v>211</v>
      </c>
    </row>
    <row r="15" customFormat="false" ht="15" hidden="false" customHeight="false" outlineLevel="0" collapsed="false">
      <c r="A15" s="5" t="s">
        <v>212</v>
      </c>
      <c r="B15" s="44" t="n">
        <f aca="false">B9-B14</f>
        <v>17660</v>
      </c>
      <c r="C15" s="44" t="n">
        <f aca="false">C9-C14</f>
        <v>17450</v>
      </c>
      <c r="D15" s="44" t="n">
        <f aca="false">D9-D14</f>
        <v>17094</v>
      </c>
      <c r="E15" s="44" t="n">
        <f aca="false">E9-E14</f>
        <v>18596.342491</v>
      </c>
      <c r="F15" s="44" t="n">
        <f aca="false">F9-F14</f>
        <v>20818.6473317038</v>
      </c>
      <c r="G15" s="44" t="n">
        <f aca="false">G9-G14</f>
        <v>23299.6889531938</v>
      </c>
      <c r="H15" s="44" t="n">
        <f aca="false">H9-H14</f>
        <v>25569.5348321125</v>
      </c>
      <c r="I15" s="44" t="n">
        <f aca="false">I9-I14</f>
        <v>27644.7674094872</v>
      </c>
    </row>
    <row r="17" customFormat="false" ht="15" hidden="false" customHeight="false" outlineLevel="0" collapsed="false">
      <c r="A17" s="39" t="s">
        <v>213</v>
      </c>
      <c r="D17" s="28" t="n">
        <v>6411</v>
      </c>
      <c r="E17" s="38" t="n">
        <f aca="false">E9*Assumptions!E45</f>
        <v>7280.8572204</v>
      </c>
      <c r="F17" s="38" t="n">
        <f aca="false">F9*Assumptions!F45</f>
        <v>7678.9425075636</v>
      </c>
      <c r="G17" s="38" t="n">
        <f aca="false">G9*Assumptions!G45</f>
        <v>8110.44322506322</v>
      </c>
      <c r="H17" s="38" t="n">
        <f aca="false">H9*Assumptions!H45</f>
        <v>8324.73115726939</v>
      </c>
      <c r="I17" s="38" t="n">
        <f aca="false">I9*Assumptions!I45</f>
        <v>8550.67345746487</v>
      </c>
      <c r="J17" s="2" t="s">
        <v>208</v>
      </c>
    </row>
    <row r="18" customFormat="false" ht="15" hidden="false" customHeight="false" outlineLevel="0" collapsed="false">
      <c r="A18" s="39" t="s">
        <v>214</v>
      </c>
      <c r="D18" s="28" t="n">
        <v>5834</v>
      </c>
      <c r="E18" s="38" t="n">
        <f aca="false">E9*Assumptions!E46</f>
        <v>6067.381017</v>
      </c>
      <c r="F18" s="38" t="n">
        <f aca="false">F9*Assumptions!F46</f>
        <v>6362.55236340984</v>
      </c>
      <c r="G18" s="38" t="n">
        <f aca="false">G9*Assumptions!G46</f>
        <v>6679.18853828736</v>
      </c>
      <c r="H18" s="38" t="n">
        <f aca="false">H9*Assumptions!H46</f>
        <v>6915.93049988534</v>
      </c>
      <c r="I18" s="38" t="n">
        <f aca="false">I9*Assumptions!I46</f>
        <v>7057.6987267964</v>
      </c>
      <c r="J18" s="2" t="s">
        <v>208</v>
      </c>
    </row>
    <row r="19" customFormat="false" ht="15" hidden="false" customHeight="false" outlineLevel="0" collapsed="false">
      <c r="A19" s="39" t="s">
        <v>215</v>
      </c>
      <c r="D19" s="28" t="n">
        <v>494</v>
      </c>
      <c r="E19" s="27" t="n">
        <f aca="false">Assumptions!E47</f>
        <v>0</v>
      </c>
      <c r="F19" s="27" t="n">
        <f aca="false">Assumptions!F47</f>
        <v>0</v>
      </c>
      <c r="G19" s="27" t="n">
        <f aca="false">Assumptions!G47</f>
        <v>0</v>
      </c>
      <c r="H19" s="27" t="n">
        <f aca="false">Assumptions!H47</f>
        <v>0</v>
      </c>
      <c r="I19" s="27" t="n">
        <f aca="false">Assumptions!I47</f>
        <v>0</v>
      </c>
      <c r="J19" s="2" t="s">
        <v>208</v>
      </c>
    </row>
    <row r="20" customFormat="false" ht="15" hidden="false" customHeight="false" outlineLevel="0" collapsed="false">
      <c r="A20" s="6" t="s">
        <v>216</v>
      </c>
      <c r="B20" s="47" t="n">
        <v>8769</v>
      </c>
      <c r="C20" s="47" t="n">
        <v>10374</v>
      </c>
      <c r="D20" s="48" t="n">
        <f aca="false">SUM(D17:D19)</f>
        <v>12739</v>
      </c>
      <c r="E20" s="48" t="n">
        <f aca="false">SUM(E17:E19)</f>
        <v>13348.2382374</v>
      </c>
      <c r="F20" s="48" t="n">
        <f aca="false">SUM(F17:F19)</f>
        <v>14041.4948709734</v>
      </c>
      <c r="G20" s="48" t="n">
        <f aca="false">SUM(G17:G19)</f>
        <v>14789.6317633506</v>
      </c>
      <c r="H20" s="48" t="n">
        <f aca="false">SUM(H17:H19)</f>
        <v>15240.6616571547</v>
      </c>
      <c r="I20" s="48" t="n">
        <f aca="false">SUM(I17:I19)</f>
        <v>15608.3721842613</v>
      </c>
      <c r="J20" s="2" t="s">
        <v>217</v>
      </c>
    </row>
    <row r="21" customFormat="false" ht="15" hidden="false" customHeight="false" outlineLevel="0" collapsed="false">
      <c r="A21" s="5" t="s">
        <v>218</v>
      </c>
      <c r="B21" s="44" t="n">
        <f aca="false">B15-B20</f>
        <v>8891</v>
      </c>
      <c r="C21" s="44" t="n">
        <f aca="false">C15-C20</f>
        <v>7076</v>
      </c>
      <c r="D21" s="44" t="n">
        <f aca="false">D15-D20</f>
        <v>4355</v>
      </c>
      <c r="E21" s="44" t="n">
        <f aca="false">E15-E20</f>
        <v>5248.10425359999</v>
      </c>
      <c r="F21" s="44" t="n">
        <f aca="false">F15-F20</f>
        <v>6777.15246073036</v>
      </c>
      <c r="G21" s="44" t="n">
        <f aca="false">G15-G20</f>
        <v>8510.05718984324</v>
      </c>
      <c r="H21" s="44" t="n">
        <f aca="false">H15-H20</f>
        <v>10328.8731749578</v>
      </c>
      <c r="I21" s="44" t="n">
        <f aca="false">I15-I20</f>
        <v>12036.3952252259</v>
      </c>
      <c r="J21" s="2" t="s">
        <v>219</v>
      </c>
    </row>
    <row r="23" customFormat="false" ht="15" hidden="false" customHeight="false" outlineLevel="0" collapsed="false">
      <c r="A23" s="39" t="s">
        <v>220</v>
      </c>
      <c r="D23" s="28" t="n">
        <v>1680</v>
      </c>
      <c r="E23" s="38" t="n">
        <f aca="false">Assumptions!E63*BS!D6</f>
        <v>1762.36</v>
      </c>
      <c r="F23" s="38" t="n">
        <f aca="false">Assumptions!F63*BS!E6</f>
        <v>1548.5675973111</v>
      </c>
      <c r="G23" s="38" t="n">
        <f aca="false">Assumptions!G63*BS!F6</f>
        <v>1590.97565804702</v>
      </c>
      <c r="H23" s="38" t="n">
        <f aca="false">Assumptions!H63*BS!G6</f>
        <v>1852.09186141704</v>
      </c>
      <c r="I23" s="38" t="n">
        <f aca="false">Assumptions!I63*BS!H6</f>
        <v>2273.71561505699</v>
      </c>
      <c r="J23" s="2" t="s">
        <v>221</v>
      </c>
    </row>
    <row r="24" customFormat="false" ht="15" hidden="false" customHeight="false" outlineLevel="0" collapsed="false">
      <c r="A24" s="39" t="s">
        <v>183</v>
      </c>
      <c r="B24" s="28" t="n">
        <v>156</v>
      </c>
      <c r="C24" s="28" t="n">
        <v>350</v>
      </c>
      <c r="D24" s="28" t="n">
        <v>338</v>
      </c>
      <c r="E24" s="27" t="n">
        <f aca="false">Schedules!E101</f>
        <v>357.629555757379</v>
      </c>
      <c r="F24" s="27" t="n">
        <f aca="false">Schedules!F101</f>
        <v>371.163115072332</v>
      </c>
      <c r="G24" s="27" t="n">
        <f aca="false">Schedules!G101</f>
        <v>381.545491862031</v>
      </c>
      <c r="H24" s="27" t="n">
        <f aca="false">Schedules!H101</f>
        <v>390.16543112861</v>
      </c>
      <c r="I24" s="27" t="n">
        <f aca="false">Schedules!I101</f>
        <v>397.778411287914</v>
      </c>
      <c r="J24" s="2" t="s">
        <v>222</v>
      </c>
    </row>
    <row r="25" customFormat="false" ht="15" hidden="false" customHeight="false" outlineLevel="0" collapsed="false">
      <c r="A25" s="39" t="s">
        <v>223</v>
      </c>
      <c r="D25" s="28" t="n">
        <v>-419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" t="s">
        <v>224</v>
      </c>
    </row>
    <row r="26" customFormat="false" ht="15" hidden="false" customHeight="false" outlineLevel="0" collapsed="false">
      <c r="A26" s="39" t="s">
        <v>225</v>
      </c>
      <c r="B26" s="28" t="n">
        <v>1261</v>
      </c>
      <c r="C26" s="28" t="n">
        <v>2202</v>
      </c>
      <c r="J26" s="2" t="s">
        <v>226</v>
      </c>
    </row>
    <row r="27" customFormat="false" ht="15" hidden="false" customHeight="false" outlineLevel="0" collapsed="false">
      <c r="A27" s="5" t="s">
        <v>227</v>
      </c>
      <c r="B27" s="41" t="n">
        <f aca="false">B21+B23-B24+B25+B26</f>
        <v>9996</v>
      </c>
      <c r="C27" s="41" t="n">
        <f aca="false">C21+C23-C24+C25+C26</f>
        <v>8928</v>
      </c>
      <c r="D27" s="41" t="n">
        <f aca="false">D21+D23-D24+D25+D26</f>
        <v>5278</v>
      </c>
      <c r="E27" s="41" t="n">
        <f aca="false">E21+E23-E24+E25+E26</f>
        <v>6652.83469784261</v>
      </c>
      <c r="F27" s="41" t="n">
        <f aca="false">F21+F23-F24+F25+F26</f>
        <v>7954.55694296913</v>
      </c>
      <c r="G27" s="41" t="n">
        <f aca="false">G21+G23-G24+G25+G26</f>
        <v>9719.48735602823</v>
      </c>
      <c r="H27" s="41" t="n">
        <f aca="false">H21+H23-H24+H25+H26</f>
        <v>11790.7996052462</v>
      </c>
      <c r="I27" s="41" t="n">
        <f aca="false">I21+I23-I24+I25+I26</f>
        <v>13912.332428995</v>
      </c>
      <c r="J27" s="2" t="s">
        <v>228</v>
      </c>
    </row>
    <row r="28" customFormat="false" ht="15" hidden="false" customHeight="false" outlineLevel="0" collapsed="false">
      <c r="A28" s="39" t="s">
        <v>229</v>
      </c>
      <c r="B28" s="28" t="n">
        <v>-5001</v>
      </c>
      <c r="C28" s="28" t="n">
        <v>1837</v>
      </c>
      <c r="D28" s="28" t="n">
        <v>1423</v>
      </c>
      <c r="E28" s="38" t="n">
        <f aca="false">E27*Assumptions!E65</f>
        <v>1663.20867446065</v>
      </c>
      <c r="F28" s="38" t="n">
        <f aca="false">F27*Assumptions!F65</f>
        <v>1988.63923574228</v>
      </c>
      <c r="G28" s="38" t="n">
        <f aca="false">G27*Assumptions!G65</f>
        <v>2429.87183900706</v>
      </c>
      <c r="H28" s="38" t="n">
        <f aca="false">H27*Assumptions!H65</f>
        <v>2947.69990131155</v>
      </c>
      <c r="I28" s="38" t="n">
        <f aca="false">I27*Assumptions!I65</f>
        <v>3478.08310724874</v>
      </c>
      <c r="J28" s="2" t="s">
        <v>230</v>
      </c>
    </row>
    <row r="29" customFormat="false" ht="15" hidden="false" customHeight="false" outlineLevel="0" collapsed="false">
      <c r="A29" s="5" t="s">
        <v>231</v>
      </c>
      <c r="B29" s="41" t="n">
        <f aca="false">B27-B28</f>
        <v>14997</v>
      </c>
      <c r="C29" s="41" t="n">
        <f aca="false">C27-C28</f>
        <v>7091</v>
      </c>
      <c r="D29" s="41" t="n">
        <f aca="false">D27-D28</f>
        <v>3855</v>
      </c>
      <c r="E29" s="41" t="n">
        <f aca="false">E27-E28</f>
        <v>4989.62602338196</v>
      </c>
      <c r="F29" s="41" t="n">
        <f aca="false">F27-F28</f>
        <v>5965.91770722685</v>
      </c>
      <c r="G29" s="41" t="n">
        <f aca="false">G27-G28</f>
        <v>7289.61551702117</v>
      </c>
      <c r="H29" s="41" t="n">
        <f aca="false">H27-H28</f>
        <v>8843.09970393464</v>
      </c>
      <c r="I29" s="41" t="n">
        <f aca="false">I27-I28</f>
        <v>10434.2493217462</v>
      </c>
    </row>
    <row r="30" customFormat="false" ht="15" hidden="false" customHeight="false" outlineLevel="0" collapsed="false">
      <c r="A30" s="39" t="s">
        <v>232</v>
      </c>
      <c r="D30" s="28" t="n">
        <v>61</v>
      </c>
      <c r="E30" s="27" t="n">
        <f aca="false">Assumptions!E66</f>
        <v>60</v>
      </c>
      <c r="F30" s="27" t="n">
        <f aca="false">Assumptions!F66</f>
        <v>60</v>
      </c>
      <c r="G30" s="27" t="n">
        <f aca="false">Assumptions!G66</f>
        <v>60</v>
      </c>
      <c r="H30" s="27" t="n">
        <f aca="false">Assumptions!H66</f>
        <v>60</v>
      </c>
      <c r="I30" s="27" t="n">
        <f aca="false">Assumptions!I66</f>
        <v>60</v>
      </c>
      <c r="J30" s="2" t="s">
        <v>233</v>
      </c>
    </row>
    <row r="31" customFormat="false" ht="15" hidden="false" customHeight="false" outlineLevel="0" collapsed="false">
      <c r="A31" s="5" t="s">
        <v>234</v>
      </c>
      <c r="B31" s="41" t="n">
        <f aca="false">B29-B30</f>
        <v>14997</v>
      </c>
      <c r="C31" s="41" t="n">
        <f aca="false">C29-C30</f>
        <v>7091</v>
      </c>
      <c r="D31" s="41" t="n">
        <f aca="false">D29-D30</f>
        <v>3794</v>
      </c>
      <c r="E31" s="41" t="n">
        <f aca="false">E29-E30</f>
        <v>4929.62602338196</v>
      </c>
      <c r="F31" s="41" t="n">
        <f aca="false">F29-F30</f>
        <v>5905.91770722685</v>
      </c>
      <c r="G31" s="41" t="n">
        <f aca="false">G29-G30</f>
        <v>7229.61551702117</v>
      </c>
      <c r="H31" s="41" t="n">
        <f aca="false">H29-H30</f>
        <v>8783.09970393464</v>
      </c>
      <c r="I31" s="41" t="n">
        <f aca="false">I29-I30</f>
        <v>10374.2493217462</v>
      </c>
      <c r="J31" s="2" t="s">
        <v>235</v>
      </c>
    </row>
    <row r="33" customFormat="false" ht="15" hidden="false" customHeight="false" outlineLevel="0" collapsed="false">
      <c r="A33" s="18" t="s">
        <v>236</v>
      </c>
      <c r="B33" s="19"/>
      <c r="C33" s="19"/>
      <c r="D33" s="19"/>
      <c r="E33" s="19"/>
      <c r="F33" s="19"/>
      <c r="G33" s="19"/>
      <c r="H33" s="19"/>
      <c r="I33" s="19"/>
      <c r="J33" s="19"/>
    </row>
    <row r="34" customFormat="false" ht="15" hidden="false" customHeight="false" outlineLevel="0" collapsed="false">
      <c r="A34" s="6" t="s">
        <v>237</v>
      </c>
      <c r="C34" s="26" t="n">
        <f aca="false">C9/B9-1</f>
        <v>0.0094757835346635</v>
      </c>
      <c r="D34" s="26" t="n">
        <f aca="false">D9/C9-1</f>
        <v>-0.0293069915037363</v>
      </c>
      <c r="E34" s="26" t="n">
        <f aca="false">E9/D9-1</f>
        <v>0.0663947710040389</v>
      </c>
      <c r="F34" s="26" t="n">
        <f aca="false">F9/E9-1</f>
        <v>0.0848091956524644</v>
      </c>
      <c r="G34" s="26" t="n">
        <f aca="false">G9/F9-1</f>
        <v>0.0872572186385847</v>
      </c>
      <c r="H34" s="26" t="n">
        <f aca="false">H9/G9-1</f>
        <v>0.0737945235177016</v>
      </c>
      <c r="I34" s="26" t="n">
        <f aca="false">I9/H9-1</f>
        <v>0.059748746455526</v>
      </c>
    </row>
    <row r="35" customFormat="false" ht="15" hidden="false" customHeight="false" outlineLevel="0" collapsed="false">
      <c r="A35" s="6" t="s">
        <v>238</v>
      </c>
      <c r="B35" s="26" t="n">
        <f aca="false">B15/B9</f>
        <v>0.182488917363314</v>
      </c>
      <c r="C35" s="26" t="n">
        <f aca="false">C15/C9</f>
        <v>0.178626266762207</v>
      </c>
      <c r="D35" s="26" t="n">
        <f aca="false">D15/D9</f>
        <v>0.180265114366162</v>
      </c>
      <c r="E35" s="26" t="n">
        <f aca="false">E15/E9</f>
        <v>0.183898216764981</v>
      </c>
      <c r="F35" s="26" t="n">
        <f aca="false">F15/F9</f>
        <v>0.18977942754277</v>
      </c>
      <c r="G35" s="26" t="n">
        <f aca="false">G15/G9</f>
        <v>0.19535046419178</v>
      </c>
      <c r="H35" s="26" t="n">
        <f aca="false">H15/H9</f>
        <v>0.199648461036005</v>
      </c>
      <c r="I35" s="26" t="n">
        <f aca="false">I15/I9</f>
        <v>0.203682242745129</v>
      </c>
    </row>
    <row r="36" customFormat="false" ht="15" hidden="false" customHeight="false" outlineLevel="0" collapsed="false">
      <c r="A36" s="6" t="s">
        <v>239</v>
      </c>
      <c r="B36" s="26" t="n">
        <f aca="false">B21/B9</f>
        <v>0.0918747997891974</v>
      </c>
      <c r="C36" s="26" t="n">
        <f aca="false">C21/C9</f>
        <v>0.0724332070836319</v>
      </c>
      <c r="D36" s="26" t="n">
        <f aca="false">D21/D9</f>
        <v>0.0459257384500195</v>
      </c>
      <c r="E36" s="26" t="n">
        <f aca="false">E21/E9</f>
        <v>0.0518982167649814</v>
      </c>
      <c r="F36" s="26" t="n">
        <f aca="false">F21/F9</f>
        <v>0.0617794275427704</v>
      </c>
      <c r="G36" s="26" t="n">
        <f aca="false">G21/G9</f>
        <v>0.0713504641917803</v>
      </c>
      <c r="H36" s="26" t="n">
        <f aca="false">H21/H9</f>
        <v>0.0806484610360046</v>
      </c>
      <c r="I36" s="26" t="n">
        <f aca="false">I21/I9</f>
        <v>0.088682242745129</v>
      </c>
    </row>
    <row r="37" customFormat="false" ht="15" hidden="false" customHeight="false" outlineLevel="0" collapsed="false">
      <c r="A37" s="6" t="s">
        <v>240</v>
      </c>
      <c r="B37" s="27" t="n">
        <f aca="false">CF!B7</f>
        <v>4667</v>
      </c>
      <c r="C37" s="27" t="n">
        <f aca="false">CF!C7</f>
        <v>5368</v>
      </c>
      <c r="D37" s="27" t="n">
        <f aca="false">CF!D7</f>
        <v>6148</v>
      </c>
      <c r="E37" s="27" t="n">
        <f aca="false">CF!E7</f>
        <v>6520.67</v>
      </c>
      <c r="F37" s="27" t="n">
        <f aca="false">CF!F7</f>
        <v>8367.9113017175</v>
      </c>
      <c r="G37" s="27" t="n">
        <f aca="false">CF!G7</f>
        <v>9561.82574902741</v>
      </c>
      <c r="H37" s="27" t="n">
        <f aca="false">CF!H7</f>
        <v>10256.9457899962</v>
      </c>
      <c r="I37" s="27" t="n">
        <f aca="false">CF!I7</f>
        <v>10671.7363803232</v>
      </c>
    </row>
    <row r="38" customFormat="false" ht="15" hidden="false" customHeight="false" outlineLevel="0" collapsed="false">
      <c r="A38" s="6" t="s">
        <v>241</v>
      </c>
      <c r="B38" s="38" t="n">
        <f aca="false">B21+B37</f>
        <v>13558</v>
      </c>
      <c r="C38" s="38" t="n">
        <f aca="false">C21+C37</f>
        <v>12444</v>
      </c>
      <c r="D38" s="38" t="n">
        <f aca="false">D21+D37</f>
        <v>10503</v>
      </c>
      <c r="E38" s="38" t="n">
        <f aca="false">E21+E37</f>
        <v>11768.7742536</v>
      </c>
      <c r="F38" s="38" t="n">
        <f aca="false">F21+F37</f>
        <v>15145.0637624479</v>
      </c>
      <c r="G38" s="38" t="n">
        <f aca="false">G21+G37</f>
        <v>18071.8829388707</v>
      </c>
      <c r="H38" s="38" t="n">
        <f aca="false">H21+H37</f>
        <v>20585.8189649539</v>
      </c>
      <c r="I38" s="38" t="n">
        <f aca="false">I21+I37</f>
        <v>22708.1316055491</v>
      </c>
      <c r="J38" s="2" t="s">
        <v>242</v>
      </c>
    </row>
    <row r="39" customFormat="false" ht="15" hidden="false" customHeight="false" outlineLevel="0" collapsed="false">
      <c r="A39" s="6" t="s">
        <v>243</v>
      </c>
      <c r="B39" s="26" t="n">
        <f aca="false">B38/B9</f>
        <v>0.140101061246422</v>
      </c>
      <c r="C39" s="26" t="n">
        <f aca="false">C38/C9</f>
        <v>0.127382536595353</v>
      </c>
      <c r="D39" s="26" t="n">
        <f aca="false">D38/D9</f>
        <v>0.11075959378658</v>
      </c>
      <c r="E39" s="26" t="n">
        <f aca="false">E38/E9</f>
        <v>0.116380766798315</v>
      </c>
      <c r="F39" s="26" t="n">
        <f aca="false">F38/F9</f>
        <v>0.138059955824271</v>
      </c>
      <c r="G39" s="26" t="n">
        <f aca="false">G38/G9</f>
        <v>0.151519221051403</v>
      </c>
      <c r="H39" s="26" t="n">
        <f aca="false">H38/H9</f>
        <v>0.160735308737695</v>
      </c>
      <c r="I39" s="26" t="n">
        <f aca="false">I38/I9</f>
        <v>0.167309896497176</v>
      </c>
    </row>
    <row r="40" customFormat="false" ht="15" hidden="false" customHeight="false" outlineLevel="0" collapsed="false">
      <c r="A40" s="6" t="s">
        <v>88</v>
      </c>
      <c r="B40" s="26" t="n">
        <f aca="false">B28/B27</f>
        <v>-0.500300120048019</v>
      </c>
      <c r="C40" s="26" t="n">
        <f aca="false">C28/C27</f>
        <v>0.205757168458781</v>
      </c>
      <c r="D40" s="26" t="n">
        <f aca="false">D28/D27</f>
        <v>0.269609700644183</v>
      </c>
      <c r="E40" s="26" t="n">
        <f aca="false">E28/E27</f>
        <v>0.25</v>
      </c>
      <c r="F40" s="26" t="n">
        <f aca="false">F28/F27</f>
        <v>0.25</v>
      </c>
      <c r="G40" s="26" t="n">
        <f aca="false">G28/G27</f>
        <v>0.25</v>
      </c>
      <c r="H40" s="26" t="n">
        <f aca="false">H28/H27</f>
        <v>0.25</v>
      </c>
      <c r="I40" s="26" t="n">
        <f aca="false">I28/I27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244</v>
      </c>
    </row>
    <row r="2" customFormat="false" ht="15" hidden="false" customHeight="false" outlineLevel="0" collapsed="false">
      <c r="A2" s="2" t="s">
        <v>245</v>
      </c>
    </row>
    <row r="5" customFormat="false" ht="15" hidden="false" customHeight="false" outlineLevel="0" collapsed="false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customFormat="false" ht="15" hidden="false" customHeight="false" outlineLevel="0" collapsed="false">
      <c r="A6" s="39" t="s">
        <v>246</v>
      </c>
      <c r="C6" s="28" t="n">
        <v>36563</v>
      </c>
      <c r="D6" s="28" t="n">
        <v>44059</v>
      </c>
      <c r="E6" s="38" t="n">
        <f aca="false">D6+CF!E19</f>
        <v>38714.1899327775</v>
      </c>
      <c r="F6" s="38" t="n">
        <f aca="false">E6+CF!F19</f>
        <v>39774.3914511754</v>
      </c>
      <c r="G6" s="38" t="n">
        <f aca="false">F6+CF!G19</f>
        <v>46302.2965354259</v>
      </c>
      <c r="H6" s="38" t="n">
        <f aca="false">G6+CF!H19</f>
        <v>56842.8903764248</v>
      </c>
      <c r="I6" s="38" t="n">
        <f aca="false">H6+CF!I19</f>
        <v>70705.032059733</v>
      </c>
      <c r="J6" s="2" t="s">
        <v>247</v>
      </c>
    </row>
    <row r="7" customFormat="false" ht="15" hidden="false" customHeight="false" outlineLevel="0" collapsed="false">
      <c r="A7" s="39" t="s">
        <v>248</v>
      </c>
      <c r="C7" s="28" t="n">
        <v>4418</v>
      </c>
      <c r="D7" s="28" t="n">
        <v>4576</v>
      </c>
      <c r="E7" s="38" t="n">
        <f aca="false">Assumptions!E53*IS!E9/365</f>
        <v>4848.36382636986</v>
      </c>
      <c r="F7" s="38" t="n">
        <f aca="false">Assumptions!F53*IS!F9/365</f>
        <v>5259.5496627148</v>
      </c>
      <c r="G7" s="38" t="n">
        <f aca="false">Assumptions!G53*IS!G9/365</f>
        <v>5718.48333757479</v>
      </c>
      <c r="H7" s="38" t="n">
        <f aca="false">Assumptions!H53*IS!H9/365</f>
        <v>6140.47609071504</v>
      </c>
      <c r="I7" s="38" t="n">
        <f aca="false">Assumptions!I53*IS!I9/365</f>
        <v>6507.36183977539</v>
      </c>
      <c r="J7" s="2" t="s">
        <v>249</v>
      </c>
    </row>
    <row r="8" customFormat="false" ht="15" hidden="false" customHeight="false" outlineLevel="0" collapsed="false">
      <c r="A8" s="39" t="s">
        <v>250</v>
      </c>
      <c r="C8" s="28" t="n">
        <v>12017</v>
      </c>
      <c r="D8" s="28" t="n">
        <v>12392</v>
      </c>
      <c r="E8" s="38" t="n">
        <f aca="false">Assumptions!E54*IS!E14/365</f>
        <v>13113.8277222521</v>
      </c>
      <c r="F8" s="38" t="n">
        <f aca="false">Assumptions!F54*IS!F14/365</f>
        <v>14123.4816936192</v>
      </c>
      <c r="G8" s="38" t="n">
        <f aca="false">Assumptions!G54*IS!G14/365</f>
        <v>15250.2713062962</v>
      </c>
      <c r="H8" s="38" t="n">
        <f aca="false">Assumptions!H54*IS!H14/365</f>
        <v>16288.188021267</v>
      </c>
      <c r="I8" s="38" t="n">
        <f aca="false">Assumptions!I54*IS!I14/365</f>
        <v>17174.3892332549</v>
      </c>
      <c r="J8" s="2" t="s">
        <v>249</v>
      </c>
    </row>
    <row r="9" customFormat="false" ht="15" hidden="false" customHeight="false" outlineLevel="0" collapsed="false">
      <c r="A9" s="39" t="s">
        <v>251</v>
      </c>
      <c r="C9" s="28" t="n">
        <v>5362</v>
      </c>
      <c r="D9" s="28" t="n">
        <v>7615</v>
      </c>
      <c r="E9" s="38" t="n">
        <f aca="false">Assumptions!E55*IS!E9</f>
        <v>8089.841356</v>
      </c>
      <c r="F9" s="38" t="n">
        <f aca="false">Assumptions!F55*IS!F9</f>
        <v>8775.9342943584</v>
      </c>
      <c r="G9" s="38" t="n">
        <f aca="false">Assumptions!G55*IS!G9</f>
        <v>9541.69791183909</v>
      </c>
      <c r="H9" s="38" t="n">
        <f aca="false">Assumptions!H55*IS!H9</f>
        <v>10245.8229627931</v>
      </c>
      <c r="I9" s="38" t="n">
        <f aca="false">Assumptions!I55*IS!I9</f>
        <v>10857.9980412252</v>
      </c>
      <c r="J9" s="2" t="s">
        <v>249</v>
      </c>
    </row>
    <row r="10" customFormat="false" ht="15" hidden="false" customHeight="false" outlineLevel="0" collapsed="false">
      <c r="A10" s="5" t="s">
        <v>252</v>
      </c>
      <c r="C10" s="41" t="n">
        <f aca="false">SUM(C6:C9)</f>
        <v>58360</v>
      </c>
      <c r="D10" s="41" t="n">
        <f aca="false">SUM(D6:D9)</f>
        <v>68642</v>
      </c>
      <c r="E10" s="41" t="n">
        <f aca="false">SUM(E6:E9)</f>
        <v>64766.2228373995</v>
      </c>
      <c r="F10" s="41" t="n">
        <f aca="false">SUM(F6:F9)</f>
        <v>67933.3571018679</v>
      </c>
      <c r="G10" s="41" t="n">
        <f aca="false">SUM(G6:G9)</f>
        <v>76812.7490911359</v>
      </c>
      <c r="H10" s="41" t="n">
        <f aca="false">SUM(H6:H9)</f>
        <v>89517.3774512</v>
      </c>
      <c r="I10" s="41" t="n">
        <f aca="false">SUM(I6:I9)</f>
        <v>105244.781173989</v>
      </c>
    </row>
    <row r="11" customFormat="false" ht="15" hidden="false" customHeight="false" outlineLevel="0" collapsed="false">
      <c r="A11" s="39" t="s">
        <v>253</v>
      </c>
      <c r="C11" s="28" t="n">
        <v>46341</v>
      </c>
      <c r="D11" s="28" t="n">
        <v>50159</v>
      </c>
      <c r="E11" s="38" t="n">
        <f aca="false">D11-CF!E13-CF!E7</f>
        <v>64368.54847475</v>
      </c>
      <c r="F11" s="38" t="n">
        <f aca="false">E11-CF!F13-CF!F7</f>
        <v>73552.5057617493</v>
      </c>
      <c r="G11" s="38" t="n">
        <f aca="false">F11-CF!G13-CF!G7</f>
        <v>78899.5829999705</v>
      </c>
      <c r="H11" s="38" t="n">
        <f aca="false">G11-CF!H13-CF!H7</f>
        <v>82090.2798486403</v>
      </c>
      <c r="I11" s="38" t="n">
        <f aca="false">H11-CF!I13-CF!I7</f>
        <v>83633.7912646954</v>
      </c>
      <c r="J11" s="2" t="s">
        <v>254</v>
      </c>
    </row>
    <row r="12" customFormat="false" ht="15" hidden="false" customHeight="false" outlineLevel="0" collapsed="false">
      <c r="A12" s="39" t="s">
        <v>255</v>
      </c>
      <c r="C12" s="28" t="n">
        <v>1076</v>
      </c>
      <c r="D12" s="28" t="n">
        <v>1008</v>
      </c>
      <c r="E12" s="38" t="n">
        <f aca="false">D12</f>
        <v>1008</v>
      </c>
      <c r="F12" s="38" t="n">
        <f aca="false">E12</f>
        <v>1008</v>
      </c>
      <c r="G12" s="38" t="n">
        <f aca="false">F12</f>
        <v>1008</v>
      </c>
      <c r="H12" s="38" t="n">
        <f aca="false">G12</f>
        <v>1008</v>
      </c>
      <c r="I12" s="38" t="n">
        <f aca="false">H12</f>
        <v>1008</v>
      </c>
      <c r="J12" s="2" t="s">
        <v>256</v>
      </c>
    </row>
    <row r="13" customFormat="false" ht="15" hidden="false" customHeight="false" outlineLevel="0" collapsed="false">
      <c r="A13" s="39" t="s">
        <v>257</v>
      </c>
      <c r="C13" s="28" t="n">
        <v>16293</v>
      </c>
      <c r="D13" s="28" t="n">
        <v>17997</v>
      </c>
      <c r="E13" s="38" t="n">
        <f aca="false">D13+Assumptions!E60</f>
        <v>17997</v>
      </c>
      <c r="F13" s="38" t="n">
        <f aca="false">E13+Assumptions!F60</f>
        <v>17997</v>
      </c>
      <c r="G13" s="38" t="n">
        <f aca="false">F13+Assumptions!G60</f>
        <v>17997</v>
      </c>
      <c r="H13" s="38" t="n">
        <f aca="false">G13+Assumptions!H60</f>
        <v>17997</v>
      </c>
      <c r="I13" s="38" t="n">
        <f aca="false">H13+Assumptions!I60</f>
        <v>17997</v>
      </c>
      <c r="J13" s="2" t="s">
        <v>258</v>
      </c>
    </row>
    <row r="14" customFormat="false" ht="15" hidden="false" customHeight="false" outlineLevel="0" collapsed="false">
      <c r="A14" s="5" t="s">
        <v>259</v>
      </c>
      <c r="C14" s="41" t="n">
        <f aca="false">C10+C11+C12+C13</f>
        <v>122070</v>
      </c>
      <c r="D14" s="41" t="n">
        <f aca="false">D10+D11+D12+D13</f>
        <v>137806</v>
      </c>
      <c r="E14" s="41" t="n">
        <f aca="false">E10+E11+E12+E13</f>
        <v>148139.771312149</v>
      </c>
      <c r="F14" s="41" t="n">
        <f aca="false">F10+F11+F12+F13</f>
        <v>160490.862863617</v>
      </c>
      <c r="G14" s="41" t="n">
        <f aca="false">G10+G11+G12+G13</f>
        <v>174717.332091106</v>
      </c>
      <c r="H14" s="41" t="n">
        <f aca="false">H10+H11+H12+H13</f>
        <v>190612.65729984</v>
      </c>
      <c r="I14" s="41" t="n">
        <f aca="false">I10+I11+I12+I13</f>
        <v>207883.572438684</v>
      </c>
      <c r="J14" s="2" t="s">
        <v>260</v>
      </c>
    </row>
    <row r="16" customFormat="false" ht="15" hidden="false" customHeight="false" outlineLevel="0" collapsed="false">
      <c r="A16" s="39" t="s">
        <v>261</v>
      </c>
      <c r="C16" s="28" t="n">
        <v>12474</v>
      </c>
      <c r="D16" s="28" t="n">
        <v>13371</v>
      </c>
      <c r="E16" s="38" t="n">
        <f aca="false">Assumptions!E56*IS!E14/365</f>
        <v>14131.2798731164</v>
      </c>
      <c r="F16" s="38" t="n">
        <f aca="false">Assumptions!F56*IS!F14/365</f>
        <v>15219.2690664</v>
      </c>
      <c r="G16" s="38" t="n">
        <f aca="false">Assumptions!G56*IS!G14/365</f>
        <v>16433.482011095</v>
      </c>
      <c r="H16" s="38" t="n">
        <f aca="false">Assumptions!H56*IS!H14/365</f>
        <v>17551.926747055</v>
      </c>
      <c r="I16" s="38" t="n">
        <f aca="false">Assumptions!I56*IS!I14/365</f>
        <v>18506.8849496281</v>
      </c>
      <c r="J16" s="2" t="s">
        <v>249</v>
      </c>
    </row>
    <row r="17" customFormat="false" ht="15" hidden="false" customHeight="false" outlineLevel="0" collapsed="false">
      <c r="A17" s="39" t="s">
        <v>262</v>
      </c>
      <c r="C17" s="28" t="n">
        <v>10723</v>
      </c>
      <c r="D17" s="28" t="n">
        <v>13279</v>
      </c>
      <c r="E17" s="38" t="n">
        <f aca="false">Assumptions!E57*IS!E9</f>
        <v>14157.222373</v>
      </c>
      <c r="F17" s="38" t="n">
        <f aca="false">Assumptions!F57*IS!F9</f>
        <v>15357.8850151272</v>
      </c>
      <c r="G17" s="38" t="n">
        <f aca="false">Assumptions!G57*IS!G9</f>
        <v>16697.9713457184</v>
      </c>
      <c r="H17" s="38" t="n">
        <f aca="false">Assumptions!H57*IS!H9</f>
        <v>17930.1901848879</v>
      </c>
      <c r="I17" s="38" t="n">
        <f aca="false">Assumptions!I57*IS!I9</f>
        <v>19001.4965721442</v>
      </c>
      <c r="J17" s="2" t="s">
        <v>249</v>
      </c>
    </row>
    <row r="18" customFormat="false" ht="15" hidden="false" customHeight="false" outlineLevel="0" collapsed="false">
      <c r="A18" s="39" t="s">
        <v>263</v>
      </c>
      <c r="C18" s="28" t="n">
        <v>6485</v>
      </c>
      <c r="D18" s="28" t="n">
        <v>7055</v>
      </c>
      <c r="E18" s="27" t="n">
        <f aca="false">Schedules!E44</f>
        <v>7421.9167119</v>
      </c>
      <c r="F18" s="27" t="n">
        <f aca="false">Schedules!F44</f>
        <v>7947.22802489316</v>
      </c>
      <c r="G18" s="27" t="n">
        <f aca="false">Schedules!G44</f>
        <v>8585.64401491744</v>
      </c>
      <c r="H18" s="27" t="n">
        <f aca="false">Schedules!H44</f>
        <v>9242.59686217922</v>
      </c>
      <c r="I18" s="27" t="n">
        <f aca="false">Schedules!I44</f>
        <v>9859.6175596239</v>
      </c>
      <c r="J18" s="2" t="s">
        <v>264</v>
      </c>
    </row>
    <row r="19" customFormat="false" ht="15" hidden="false" customHeight="false" outlineLevel="0" collapsed="false">
      <c r="A19" s="39" t="s">
        <v>265</v>
      </c>
      <c r="C19" s="28" t="n">
        <v>8213</v>
      </c>
      <c r="D19" s="28" t="n">
        <v>8376</v>
      </c>
      <c r="E19" s="27" t="n">
        <f aca="false">Schedules!E99</f>
        <v>8681.03582225105</v>
      </c>
      <c r="F19" s="27" t="n">
        <f aca="false">Schedules!F99</f>
        <v>8961.27115770354</v>
      </c>
      <c r="G19" s="27" t="n">
        <f aca="false">Schedules!G99</f>
        <v>9127.2728859215</v>
      </c>
      <c r="H19" s="27" t="n">
        <f aca="false">Schedules!H99</f>
        <v>9329.69835728203</v>
      </c>
      <c r="I19" s="27" t="n">
        <f aca="false">Schedules!I99</f>
        <v>9451.32962164594</v>
      </c>
      <c r="J19" s="2" t="s">
        <v>266</v>
      </c>
    </row>
    <row r="20" customFormat="false" ht="15" hidden="false" customHeight="false" outlineLevel="0" collapsed="false">
      <c r="A20" s="39" t="s">
        <v>267</v>
      </c>
      <c r="C20" s="28" t="n">
        <v>10495</v>
      </c>
      <c r="D20" s="28" t="n">
        <v>12860</v>
      </c>
      <c r="E20" s="38" t="n">
        <f aca="false">D20+Assumptions!E59</f>
        <v>12860</v>
      </c>
      <c r="F20" s="38" t="n">
        <f aca="false">E20+Assumptions!F59</f>
        <v>12860</v>
      </c>
      <c r="G20" s="38" t="n">
        <f aca="false">F20+Assumptions!G59</f>
        <v>12860</v>
      </c>
      <c r="H20" s="38" t="n">
        <f aca="false">G20+Assumptions!H59</f>
        <v>12860</v>
      </c>
      <c r="I20" s="38" t="n">
        <f aca="false">H20+Assumptions!I59</f>
        <v>12860</v>
      </c>
      <c r="J20" s="2" t="s">
        <v>249</v>
      </c>
    </row>
    <row r="21" customFormat="false" ht="15" hidden="false" customHeight="false" outlineLevel="0" collapsed="false">
      <c r="A21" s="5" t="s">
        <v>268</v>
      </c>
      <c r="C21" s="41" t="n">
        <f aca="false">SUM(C16:C20)</f>
        <v>48390</v>
      </c>
      <c r="D21" s="41" t="n">
        <f aca="false">SUM(D16:D20)</f>
        <v>54941</v>
      </c>
      <c r="E21" s="41" t="n">
        <f aca="false">SUM(E16:E20)</f>
        <v>57251.4547802675</v>
      </c>
      <c r="F21" s="41" t="n">
        <f aca="false">SUM(F16:F20)</f>
        <v>60345.6532641239</v>
      </c>
      <c r="G21" s="41" t="n">
        <f aca="false">SUM(G16:G20)</f>
        <v>63704.3702576523</v>
      </c>
      <c r="H21" s="41" t="n">
        <f aca="false">SUM(H16:H20)</f>
        <v>66914.4121514042</v>
      </c>
      <c r="I21" s="41" t="n">
        <f aca="false">SUM(I16:I20)</f>
        <v>69679.3287030421</v>
      </c>
      <c r="J21" s="2" t="s">
        <v>269</v>
      </c>
    </row>
    <row r="23" customFormat="false" ht="15" hidden="false" customHeight="false" outlineLevel="0" collapsed="false">
      <c r="A23" s="39" t="s">
        <v>270</v>
      </c>
      <c r="C23" s="28" t="n">
        <v>72913</v>
      </c>
      <c r="D23" s="28" t="n">
        <v>82137</v>
      </c>
      <c r="E23" s="38" t="n">
        <f aca="false">D23+IS!E31+CF!E8</f>
        <v>90100.316531882</v>
      </c>
      <c r="F23" s="38" t="n">
        <f aca="false">E23+IS!F31+CF!F8</f>
        <v>99297.2095994932</v>
      </c>
      <c r="G23" s="38" t="n">
        <f aca="false">F23+IS!G31+CF!G8</f>
        <v>110104.961833454</v>
      </c>
      <c r="H23" s="38" t="n">
        <f aca="false">G23+IS!H31+CF!H8</f>
        <v>122730.245148436</v>
      </c>
      <c r="I23" s="38" t="n">
        <f aca="false">H23+IS!I31+CF!I8</f>
        <v>137176.243735642</v>
      </c>
      <c r="J23" s="2" t="s">
        <v>271</v>
      </c>
    </row>
    <row r="24" customFormat="false" ht="15" hidden="false" customHeight="false" outlineLevel="0" collapsed="false">
      <c r="A24" s="39" t="s">
        <v>272</v>
      </c>
      <c r="C24" s="28" t="n">
        <v>767</v>
      </c>
      <c r="D24" s="28" t="n">
        <v>728</v>
      </c>
      <c r="E24" s="38" t="n">
        <f aca="false">D24+IS!E30</f>
        <v>788</v>
      </c>
      <c r="F24" s="38" t="n">
        <f aca="false">E24+IS!F30</f>
        <v>848</v>
      </c>
      <c r="G24" s="38" t="n">
        <f aca="false">F24+IS!G30</f>
        <v>908</v>
      </c>
      <c r="H24" s="38" t="n">
        <f aca="false">G24+IS!H30</f>
        <v>968</v>
      </c>
      <c r="I24" s="38" t="n">
        <f aca="false">H24+IS!I30</f>
        <v>1028</v>
      </c>
      <c r="J24" s="2" t="s">
        <v>273</v>
      </c>
    </row>
    <row r="25" customFormat="false" ht="15" hidden="false" customHeight="false" outlineLevel="0" collapsed="false">
      <c r="A25" s="5" t="s">
        <v>274</v>
      </c>
      <c r="C25" s="41" t="n">
        <f aca="false">C23+C24</f>
        <v>73680</v>
      </c>
      <c r="D25" s="41" t="n">
        <f aca="false">D23+D24</f>
        <v>82865</v>
      </c>
      <c r="E25" s="41" t="n">
        <f aca="false">E23+E24</f>
        <v>90888.316531882</v>
      </c>
      <c r="F25" s="41" t="n">
        <f aca="false">F23+F24</f>
        <v>100145.209599493</v>
      </c>
      <c r="G25" s="41" t="n">
        <f aca="false">G23+G24</f>
        <v>111012.961833454</v>
      </c>
      <c r="H25" s="41" t="n">
        <f aca="false">H23+H24</f>
        <v>123698.245148436</v>
      </c>
      <c r="I25" s="41" t="n">
        <f aca="false">I23+I24</f>
        <v>138204.243735642</v>
      </c>
    </row>
    <row r="26" customFormat="false" ht="15" hidden="false" customHeight="false" outlineLevel="0" collapsed="false">
      <c r="A26" s="5" t="s">
        <v>275</v>
      </c>
      <c r="C26" s="41" t="n">
        <f aca="false">C21+C25</f>
        <v>122070</v>
      </c>
      <c r="D26" s="41" t="n">
        <f aca="false">D21+D25</f>
        <v>137806</v>
      </c>
      <c r="E26" s="41" t="n">
        <f aca="false">E21+E25</f>
        <v>148139.771312149</v>
      </c>
      <c r="F26" s="41" t="n">
        <f aca="false">F21+F25</f>
        <v>160490.862863617</v>
      </c>
      <c r="G26" s="41" t="n">
        <f aca="false">G21+G25</f>
        <v>174717.332091106</v>
      </c>
      <c r="H26" s="41" t="n">
        <f aca="false">H21+H25</f>
        <v>190612.65729984</v>
      </c>
      <c r="I26" s="41" t="n">
        <f aca="false">I21+I25</f>
        <v>207883.572438684</v>
      </c>
    </row>
    <row r="28" customFormat="false" ht="15" hidden="false" customHeight="false" outlineLevel="0" collapsed="false">
      <c r="A28" s="43" t="s">
        <v>276</v>
      </c>
      <c r="C28" s="49" t="n">
        <f aca="false">ROUND(C14-C26,3)</f>
        <v>0</v>
      </c>
      <c r="D28" s="49" t="n">
        <f aca="false">ROUND(D14-D26,3)</f>
        <v>0</v>
      </c>
      <c r="E28" s="49" t="n">
        <f aca="false">ROUND(E14-E26,3)</f>
        <v>0</v>
      </c>
      <c r="F28" s="49" t="n">
        <f aca="false">ROUND(F14-F26,3)</f>
        <v>0</v>
      </c>
      <c r="G28" s="49" t="n">
        <f aca="false">ROUND(G14-G26,3)</f>
        <v>0</v>
      </c>
      <c r="H28" s="49" t="n">
        <f aca="false">ROUND(H14-H26,3)</f>
        <v>0</v>
      </c>
      <c r="I28" s="49" t="n">
        <f aca="false">ROUND(I14-I26,3)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277</v>
      </c>
    </row>
    <row r="2" customFormat="false" ht="15" hidden="false" customHeight="false" outlineLevel="0" collapsed="false">
      <c r="A2" s="2" t="s">
        <v>278</v>
      </c>
    </row>
    <row r="5" customFormat="false" ht="15" hidden="false" customHeight="false" outlineLevel="0" collapsed="false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customFormat="false" ht="15" hidden="false" customHeight="false" outlineLevel="0" collapsed="false">
      <c r="A6" s="39" t="s">
        <v>279</v>
      </c>
      <c r="D6" s="27" t="n">
        <f aca="false">IS!D29</f>
        <v>3855</v>
      </c>
      <c r="E6" s="27" t="n">
        <f aca="false">IS!E29</f>
        <v>4989.62602338196</v>
      </c>
      <c r="F6" s="27" t="n">
        <f aca="false">IS!F29</f>
        <v>5965.91770722685</v>
      </c>
      <c r="G6" s="27" t="n">
        <f aca="false">IS!G29</f>
        <v>7289.61551702117</v>
      </c>
      <c r="H6" s="27" t="n">
        <f aca="false">IS!H29</f>
        <v>8843.09970393464</v>
      </c>
      <c r="I6" s="27" t="n">
        <f aca="false">IS!I29</f>
        <v>10434.2493217462</v>
      </c>
      <c r="J6" s="2" t="s">
        <v>280</v>
      </c>
    </row>
    <row r="7" customFormat="false" ht="15" hidden="false" customHeight="false" outlineLevel="0" collapsed="false">
      <c r="A7" s="39" t="s">
        <v>240</v>
      </c>
      <c r="B7" s="28" t="n">
        <v>4667</v>
      </c>
      <c r="C7" s="28" t="n">
        <v>5368</v>
      </c>
      <c r="D7" s="28" t="n">
        <v>6148</v>
      </c>
      <c r="E7" s="38" t="n">
        <f aca="false">Assumptions!E49*BS!D11</f>
        <v>6520.67</v>
      </c>
      <c r="F7" s="38" t="n">
        <f aca="false">Assumptions!F49*BS!E11</f>
        <v>8367.9113017175</v>
      </c>
      <c r="G7" s="38" t="n">
        <f aca="false">Assumptions!G49*BS!F11</f>
        <v>9561.82574902741</v>
      </c>
      <c r="H7" s="38" t="n">
        <f aca="false">Assumptions!H49*BS!G11</f>
        <v>10256.9457899962</v>
      </c>
      <c r="I7" s="38" t="n">
        <f aca="false">Assumptions!I49*BS!H11</f>
        <v>10671.7363803232</v>
      </c>
      <c r="J7" s="2" t="s">
        <v>281</v>
      </c>
    </row>
    <row r="8" customFormat="false" ht="15" hidden="false" customHeight="false" outlineLevel="0" collapsed="false">
      <c r="A8" s="39" t="s">
        <v>282</v>
      </c>
      <c r="B8" s="28" t="n">
        <v>1812</v>
      </c>
      <c r="C8" s="28" t="n">
        <v>1999</v>
      </c>
      <c r="D8" s="28" t="n">
        <v>2825</v>
      </c>
      <c r="E8" s="38" t="n">
        <f aca="false">Assumptions!E48*IS!E9</f>
        <v>3033.6905085</v>
      </c>
      <c r="F8" s="38" t="n">
        <f aca="false">Assumptions!F48*IS!F9</f>
        <v>3290.9753603844</v>
      </c>
      <c r="G8" s="38" t="n">
        <f aca="false">Assumptions!G48*IS!G9</f>
        <v>3578.13671693966</v>
      </c>
      <c r="H8" s="38" t="n">
        <f aca="false">Assumptions!H48*IS!H9</f>
        <v>3842.18361104741</v>
      </c>
      <c r="I8" s="38" t="n">
        <f aca="false">Assumptions!I48*IS!I9</f>
        <v>4071.74926545946</v>
      </c>
      <c r="J8" s="2" t="s">
        <v>283</v>
      </c>
    </row>
    <row r="9" customFormat="false" ht="15" hidden="false" customHeight="false" outlineLevel="0" collapsed="false">
      <c r="A9" s="39" t="s">
        <v>284</v>
      </c>
      <c r="D9" s="28" t="n">
        <v>1277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" t="s">
        <v>285</v>
      </c>
    </row>
    <row r="10" customFormat="false" ht="15" hidden="false" customHeight="false" outlineLevel="0" collapsed="false">
      <c r="A10" s="39" t="s">
        <v>286</v>
      </c>
      <c r="D10" s="28" t="n">
        <v>642</v>
      </c>
      <c r="E10" s="38" t="n">
        <f aca="false">-(BS!E7-BS!D7)-(BS!E8-BS!D8)-(BS!E9-BS!D9)+(BS!E16-BS!D16)+(BS!E17-BS!D17)+(BS!E18-BS!D18)+(BS!E20-BS!D20)-(BS!E13-BS!D13)-(BS!E12-BS!D12)</f>
        <v>536.386053394524</v>
      </c>
      <c r="F10" s="38" t="n">
        <f aca="false">-(BS!F7-BS!E7)-(BS!F8-BS!E8)-(BS!F9-BS!E9)+(BS!F16-BS!E16)+(BS!F17-BS!E17)+(BS!F18-BS!E18)+(BS!F20-BS!E20)-(BS!F13-BS!E13)-(BS!F12-BS!E12)</f>
        <v>707.030402333444</v>
      </c>
      <c r="G10" s="38" t="n">
        <f aca="false">-(BS!G7-BS!F7)-(BS!G8-BS!F8)-(BS!G9-BS!F9)+(BS!G16-BS!F16)+(BS!G17-BS!F17)+(BS!G18-BS!F18)+(BS!G20-BS!F20)-(BS!G13-BS!F13)-(BS!G12-BS!F12)</f>
        <v>841.228360292837</v>
      </c>
      <c r="H10" s="38" t="n">
        <f aca="false">-(BS!H7-BS!G7)-(BS!H8-BS!G8)-(BS!H9-BS!G9)+(BS!H16-BS!G16)+(BS!H17-BS!G17)+(BS!H18-BS!G18)+(BS!H20-BS!G20)-(BS!H13-BS!G13)-(BS!H12-BS!G12)</f>
        <v>843.581903326164</v>
      </c>
      <c r="I10" s="38" t="n">
        <f aca="false">-(BS!I7-BS!H7)-(BS!I8-BS!H8)-(BS!I9-BS!H9)+(BS!I16-BS!H16)+(BS!I17-BS!H17)+(BS!I18-BS!H18)+(BS!I20-BS!H20)-(BS!I13-BS!H13)-(BS!I12-BS!H12)</f>
        <v>778.023247793683</v>
      </c>
      <c r="J10" s="2" t="s">
        <v>287</v>
      </c>
    </row>
    <row r="11" customFormat="false" ht="15" hidden="false" customHeight="false" outlineLevel="0" collapsed="false">
      <c r="A11" s="5" t="s">
        <v>288</v>
      </c>
      <c r="B11" s="50" t="n">
        <v>13256</v>
      </c>
      <c r="C11" s="50" t="n">
        <v>14923</v>
      </c>
      <c r="D11" s="41" t="n">
        <f aca="false">SUM(D6:D10)</f>
        <v>14747</v>
      </c>
      <c r="E11" s="41" t="n">
        <f aca="false">SUM(E6:E10)</f>
        <v>15080.3725852765</v>
      </c>
      <c r="F11" s="41" t="n">
        <f aca="false">SUM(F6:F10)</f>
        <v>18331.8347716622</v>
      </c>
      <c r="G11" s="41" t="n">
        <f aca="false">SUM(G6:G10)</f>
        <v>21270.8063432811</v>
      </c>
      <c r="H11" s="41" t="n">
        <f aca="false">SUM(H6:H10)</f>
        <v>23785.8110083044</v>
      </c>
      <c r="I11" s="41" t="n">
        <f aca="false">SUM(I6:I10)</f>
        <v>25955.7582153226</v>
      </c>
      <c r="J11" s="2" t="s">
        <v>289</v>
      </c>
    </row>
    <row r="13" customFormat="false" ht="15" hidden="false" customHeight="false" outlineLevel="0" collapsed="false">
      <c r="A13" s="39" t="s">
        <v>290</v>
      </c>
      <c r="B13" s="28" t="n">
        <v>-8899</v>
      </c>
      <c r="C13" s="28" t="n">
        <v>-11342</v>
      </c>
      <c r="D13" s="28" t="n">
        <v>-8527</v>
      </c>
      <c r="E13" s="38" t="n">
        <f aca="false">-Assumptions!E50*IS!E9</f>
        <v>-20730.21847475</v>
      </c>
      <c r="F13" s="38" t="n">
        <f aca="false">-Assumptions!F50*IS!F9</f>
        <v>-17551.8685887168</v>
      </c>
      <c r="G13" s="38" t="n">
        <f aca="false">-Assumptions!G50*IS!G9</f>
        <v>-14908.9029872486</v>
      </c>
      <c r="H13" s="38" t="n">
        <f aca="false">-Assumptions!H50*IS!H9</f>
        <v>-13447.6426386659</v>
      </c>
      <c r="I13" s="38" t="n">
        <f aca="false">-Assumptions!I50*IS!I9</f>
        <v>-12215.2477963784</v>
      </c>
      <c r="J13" s="2" t="s">
        <v>291</v>
      </c>
    </row>
    <row r="14" customFormat="false" ht="15" hidden="false" customHeight="false" outlineLevel="0" collapsed="false">
      <c r="A14" s="39" t="s">
        <v>292</v>
      </c>
      <c r="D14" s="28" t="n">
        <v>-6951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" t="s">
        <v>293</v>
      </c>
    </row>
    <row r="15" customFormat="false" ht="15" hidden="false" customHeight="false" outlineLevel="0" collapsed="false">
      <c r="A15" s="5" t="s">
        <v>294</v>
      </c>
      <c r="B15" s="24"/>
      <c r="C15" s="24"/>
      <c r="D15" s="41" t="n">
        <f aca="false">D13+D14</f>
        <v>-15478</v>
      </c>
      <c r="E15" s="41" t="n">
        <f aca="false">E13+E14</f>
        <v>-20730.21847475</v>
      </c>
      <c r="F15" s="41" t="n">
        <f aca="false">F13+F14</f>
        <v>-17551.8685887168</v>
      </c>
      <c r="G15" s="41" t="n">
        <f aca="false">G13+G14</f>
        <v>-14908.9029872486</v>
      </c>
      <c r="H15" s="41" t="n">
        <f aca="false">H13+H14</f>
        <v>-13447.6426386659</v>
      </c>
      <c r="I15" s="41" t="n">
        <f aca="false">I13+I14</f>
        <v>-12215.2477963784</v>
      </c>
      <c r="J15" s="2" t="s">
        <v>295</v>
      </c>
    </row>
    <row r="17" customFormat="false" ht="15" hidden="false" customHeight="false" outlineLevel="0" collapsed="false">
      <c r="A17" s="39" t="s">
        <v>296</v>
      </c>
      <c r="D17" s="28" t="n">
        <v>1139</v>
      </c>
      <c r="E17" s="27" t="n">
        <f aca="false">Schedules!E100</f>
        <v>305.035822251054</v>
      </c>
      <c r="F17" s="27" t="n">
        <f aca="false">Schedules!F100</f>
        <v>280.235335452482</v>
      </c>
      <c r="G17" s="27" t="n">
        <f aca="false">Schedules!G100</f>
        <v>166.00172821797</v>
      </c>
      <c r="H17" s="27" t="n">
        <f aca="false">Schedules!H100</f>
        <v>202.425471360519</v>
      </c>
      <c r="I17" s="27" t="n">
        <f aca="false">Schedules!I100</f>
        <v>121.631264363912</v>
      </c>
      <c r="J17" s="2" t="s">
        <v>297</v>
      </c>
    </row>
    <row r="18" customFormat="false" ht="15" hidden="false" customHeight="false" outlineLevel="0" collapsed="false">
      <c r="A18" s="39" t="s">
        <v>298</v>
      </c>
      <c r="D18" s="28" t="n">
        <v>171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" t="s">
        <v>299</v>
      </c>
    </row>
    <row r="19" customFormat="false" ht="15" hidden="false" customHeight="false" outlineLevel="0" collapsed="false">
      <c r="A19" s="5" t="s">
        <v>300</v>
      </c>
      <c r="B19" s="24"/>
      <c r="C19" s="24"/>
      <c r="D19" s="41" t="n">
        <f aca="false">D11+D15+D17+D18</f>
        <v>579</v>
      </c>
      <c r="E19" s="41" t="n">
        <f aca="false">E11+E15+E17+E18</f>
        <v>-5344.81006722246</v>
      </c>
      <c r="F19" s="41" t="n">
        <f aca="false">F11+F15+F17+F18</f>
        <v>1060.20151839787</v>
      </c>
      <c r="G19" s="41" t="n">
        <f aca="false">G11+G15+G17+G18</f>
        <v>6527.90508425047</v>
      </c>
      <c r="H19" s="41" t="n">
        <f aca="false">H11+H15+H17+H18</f>
        <v>10540.593840999</v>
      </c>
      <c r="I19" s="41" t="n">
        <f aca="false">I11+I15+I17+I18</f>
        <v>13862.1416833081</v>
      </c>
      <c r="J19" s="2" t="s">
        <v>301</v>
      </c>
    </row>
    <row r="21" customFormat="false" ht="15" hidden="false" customHeight="false" outlineLevel="0" collapsed="false">
      <c r="A21" s="5" t="s">
        <v>302</v>
      </c>
      <c r="B21" s="44" t="n">
        <f aca="false">B11+B13</f>
        <v>4357</v>
      </c>
      <c r="C21" s="44" t="n">
        <f aca="false">C11+C13</f>
        <v>3581</v>
      </c>
      <c r="D21" s="44" t="n">
        <f aca="false">D11+D13</f>
        <v>6220</v>
      </c>
      <c r="E21" s="44" t="n">
        <f aca="false">E11+E13</f>
        <v>-5649.84588947351</v>
      </c>
      <c r="F21" s="44" t="n">
        <f aca="false">F11+F13</f>
        <v>779.966182945391</v>
      </c>
      <c r="G21" s="44" t="n">
        <f aca="false">G11+G13</f>
        <v>6361.9033560325</v>
      </c>
      <c r="H21" s="44" t="n">
        <f aca="false">H11+H13</f>
        <v>10338.1683696384</v>
      </c>
      <c r="I21" s="44" t="n">
        <f aca="false">I11+I13</f>
        <v>13740.5104189442</v>
      </c>
      <c r="J21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304</v>
      </c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16" t="s">
        <v>31</v>
      </c>
      <c r="B4" s="17"/>
      <c r="C4" s="17"/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6" t="s">
        <v>40</v>
      </c>
    </row>
    <row r="5" customFormat="false" ht="15" hidden="false" customHeight="false" outlineLevel="0" collapsed="false">
      <c r="A5" s="6" t="s">
        <v>306</v>
      </c>
      <c r="D5" s="27" t="n">
        <f aca="false">IS!D9</f>
        <v>94827</v>
      </c>
      <c r="E5" s="27" t="n">
        <f aca="false">IS!E9</f>
        <v>101123.01695</v>
      </c>
      <c r="F5" s="27" t="n">
        <f aca="false">IS!F9</f>
        <v>109699.17867948</v>
      </c>
      <c r="G5" s="27" t="n">
        <f aca="false">IS!G9</f>
        <v>119271.223897989</v>
      </c>
      <c r="H5" s="27" t="n">
        <f aca="false">IS!H9</f>
        <v>128072.787034914</v>
      </c>
      <c r="I5" s="27" t="n">
        <f aca="false">IS!I9</f>
        <v>135724.975515315</v>
      </c>
    </row>
    <row r="6" customFormat="false" ht="15" hidden="false" customHeight="false" outlineLevel="0" collapsed="false">
      <c r="A6" s="6" t="s">
        <v>307</v>
      </c>
      <c r="D6" s="27" t="n">
        <f aca="false">IS!D21</f>
        <v>4355</v>
      </c>
      <c r="E6" s="27" t="n">
        <f aca="false">IS!E21</f>
        <v>5248.10425359999</v>
      </c>
      <c r="F6" s="27" t="n">
        <f aca="false">IS!F21</f>
        <v>6777.15246073036</v>
      </c>
      <c r="G6" s="27" t="n">
        <f aca="false">IS!G21</f>
        <v>8510.05718984324</v>
      </c>
      <c r="H6" s="27" t="n">
        <f aca="false">IS!H21</f>
        <v>10328.8731749578</v>
      </c>
      <c r="I6" s="27" t="n">
        <f aca="false">IS!I21</f>
        <v>12036.3952252259</v>
      </c>
    </row>
    <row r="7" customFormat="false" ht="15" hidden="false" customHeight="false" outlineLevel="0" collapsed="false">
      <c r="A7" s="43" t="s">
        <v>308</v>
      </c>
      <c r="D7" s="51" t="n">
        <f aca="false">D6/D5</f>
        <v>0.0459257384500195</v>
      </c>
      <c r="E7" s="51" t="n">
        <f aca="false">E6/E5</f>
        <v>0.0518982167649814</v>
      </c>
      <c r="F7" s="51" t="n">
        <f aca="false">F6/F5</f>
        <v>0.0617794275427704</v>
      </c>
      <c r="G7" s="51" t="n">
        <f aca="false">G6/G5</f>
        <v>0.0713504641917803</v>
      </c>
      <c r="H7" s="51" t="n">
        <f aca="false">H6/H5</f>
        <v>0.0806484610360046</v>
      </c>
      <c r="I7" s="51" t="n">
        <f aca="false">I6/I5</f>
        <v>0.088682242745129</v>
      </c>
    </row>
    <row r="8" customFormat="false" ht="15" hidden="false" customHeight="false" outlineLevel="0" collapsed="false">
      <c r="A8" s="39" t="s">
        <v>309</v>
      </c>
      <c r="E8" s="38" t="n">
        <f aca="false">-E6*Assumptions!E65</f>
        <v>-1312.0260634</v>
      </c>
      <c r="F8" s="38" t="n">
        <f aca="false">-F6*Assumptions!F65</f>
        <v>-1694.28811518259</v>
      </c>
      <c r="G8" s="38" t="n">
        <f aca="false">-G6*Assumptions!G65</f>
        <v>-2127.51429746081</v>
      </c>
      <c r="H8" s="38" t="n">
        <f aca="false">-H6*Assumptions!H65</f>
        <v>-2582.21829373944</v>
      </c>
      <c r="I8" s="38" t="n">
        <f aca="false">-I6*Assumptions!I65</f>
        <v>-3009.09880630647</v>
      </c>
    </row>
    <row r="9" customFormat="false" ht="15" hidden="false" customHeight="false" outlineLevel="0" collapsed="false">
      <c r="A9" s="5" t="s">
        <v>310</v>
      </c>
      <c r="E9" s="41" t="n">
        <f aca="false">E6+E8</f>
        <v>3936.07819019999</v>
      </c>
      <c r="F9" s="41" t="n">
        <f aca="false">F6+F8</f>
        <v>5082.86434554777</v>
      </c>
      <c r="G9" s="41" t="n">
        <f aca="false">G6+G8</f>
        <v>6382.54289238243</v>
      </c>
      <c r="H9" s="41" t="n">
        <f aca="false">H6+H8</f>
        <v>7746.65488121832</v>
      </c>
      <c r="I9" s="41" t="n">
        <f aca="false">I6+I8</f>
        <v>9027.29641891942</v>
      </c>
    </row>
    <row r="10" customFormat="false" ht="15" hidden="false" customHeight="false" outlineLevel="0" collapsed="false">
      <c r="A10" s="39" t="s">
        <v>311</v>
      </c>
      <c r="E10" s="27" t="n">
        <f aca="false">CF!E7</f>
        <v>6520.67</v>
      </c>
      <c r="F10" s="27" t="n">
        <f aca="false">CF!F7</f>
        <v>8367.9113017175</v>
      </c>
      <c r="G10" s="27" t="n">
        <f aca="false">CF!G7</f>
        <v>9561.82574902741</v>
      </c>
      <c r="H10" s="27" t="n">
        <f aca="false">CF!H7</f>
        <v>10256.9457899962</v>
      </c>
      <c r="I10" s="27" t="n">
        <f aca="false">CF!I7</f>
        <v>10671.7363803232</v>
      </c>
    </row>
    <row r="11" customFormat="false" ht="15" hidden="false" customHeight="false" outlineLevel="0" collapsed="false">
      <c r="A11" s="39" t="s">
        <v>312</v>
      </c>
      <c r="E11" s="27" t="n">
        <f aca="false">CF!E13</f>
        <v>-20730.21847475</v>
      </c>
      <c r="F11" s="27" t="n">
        <f aca="false">CF!F13</f>
        <v>-17551.8685887168</v>
      </c>
      <c r="G11" s="27" t="n">
        <f aca="false">CF!G13</f>
        <v>-14908.9029872486</v>
      </c>
      <c r="H11" s="27" t="n">
        <f aca="false">CF!H13</f>
        <v>-13447.6426386659</v>
      </c>
      <c r="I11" s="27" t="n">
        <f aca="false">CF!I13</f>
        <v>-12215.2477963784</v>
      </c>
    </row>
    <row r="12" customFormat="false" ht="15" hidden="false" customHeight="false" outlineLevel="0" collapsed="false">
      <c r="A12" s="39" t="s">
        <v>313</v>
      </c>
      <c r="E12" s="27" t="n">
        <f aca="false">CF!E10</f>
        <v>536.386053394524</v>
      </c>
      <c r="F12" s="27" t="n">
        <f aca="false">CF!F10</f>
        <v>707.030402333444</v>
      </c>
      <c r="G12" s="27" t="n">
        <f aca="false">CF!G10</f>
        <v>841.228360292837</v>
      </c>
      <c r="H12" s="27" t="n">
        <f aca="false">CF!H10</f>
        <v>843.581903326164</v>
      </c>
      <c r="I12" s="27" t="n">
        <f aca="false">CF!I10</f>
        <v>778.023247793683</v>
      </c>
      <c r="J12" s="2" t="s">
        <v>314</v>
      </c>
    </row>
    <row r="13" customFormat="false" ht="15" hidden="false" customHeight="false" outlineLevel="0" collapsed="false">
      <c r="A13" s="5" t="s">
        <v>315</v>
      </c>
      <c r="E13" s="41" t="n">
        <f aca="false">E9+E10+E11+E12</f>
        <v>-9737.08423115548</v>
      </c>
      <c r="F13" s="41" t="n">
        <f aca="false">F9+F10+F11+F12</f>
        <v>-3394.06253911808</v>
      </c>
      <c r="G13" s="41" t="n">
        <f aca="false">G9+G10+G11+G12</f>
        <v>1876.69401445411</v>
      </c>
      <c r="H13" s="41" t="n">
        <f aca="false">H9+H10+H11+H12</f>
        <v>5399.5399358747</v>
      </c>
      <c r="I13" s="41" t="n">
        <f aca="false">I9+I10+I11+I12</f>
        <v>8261.80825065795</v>
      </c>
      <c r="J13" s="2" t="s">
        <v>316</v>
      </c>
    </row>
    <row r="15" customFormat="false" ht="15" hidden="false" customHeight="false" outlineLevel="0" collapsed="false">
      <c r="A15" s="6" t="s">
        <v>317</v>
      </c>
      <c r="E15" s="30" t="n">
        <v>1</v>
      </c>
      <c r="F15" s="30" t="n">
        <v>2</v>
      </c>
      <c r="G15" s="30" t="n">
        <v>3</v>
      </c>
      <c r="H15" s="30" t="n">
        <v>4</v>
      </c>
      <c r="I15" s="30" t="n">
        <v>5</v>
      </c>
    </row>
    <row r="16" customFormat="false" ht="15" hidden="false" customHeight="false" outlineLevel="0" collapsed="false">
      <c r="A16" s="6" t="s">
        <v>318</v>
      </c>
      <c r="E16" s="52" t="n">
        <f aca="false">1/(1+$B$34)^E15</f>
        <v>0.880983549846479</v>
      </c>
      <c r="F16" s="52" t="n">
        <f aca="false">1/(1+$B$34)^F15</f>
        <v>0.776132015100103</v>
      </c>
      <c r="G16" s="52" t="n">
        <f aca="false">1/(1+$B$34)^G15</f>
        <v>0.683759537812389</v>
      </c>
      <c r="H16" s="52" t="n">
        <f aca="false">1/(1+$B$34)^H15</f>
        <v>0.602380904863346</v>
      </c>
      <c r="I16" s="52" t="n">
        <f aca="false">1/(1+$B$34)^I15</f>
        <v>0.530687667926245</v>
      </c>
    </row>
    <row r="17" customFormat="false" ht="15" hidden="false" customHeight="false" outlineLevel="0" collapsed="false">
      <c r="A17" s="5" t="s">
        <v>319</v>
      </c>
      <c r="E17" s="44" t="n">
        <f aca="false">E13*E16</f>
        <v>-8578.21103111752</v>
      </c>
      <c r="F17" s="44" t="n">
        <f aca="false">F13*F16</f>
        <v>-2634.24059786149</v>
      </c>
      <c r="G17" s="44" t="n">
        <f aca="false">G13*G16</f>
        <v>1283.20743193842</v>
      </c>
      <c r="H17" s="44" t="n">
        <f aca="false">H13*H16</f>
        <v>3252.57975241798</v>
      </c>
      <c r="I17" s="44" t="n">
        <f aca="false">I13*I16</f>
        <v>4384.43975339548</v>
      </c>
    </row>
    <row r="19" customFormat="false" ht="15" hidden="false" customHeight="false" outlineLevel="0" collapsed="false">
      <c r="A19" s="18" t="s">
        <v>320</v>
      </c>
      <c r="B19" s="19"/>
      <c r="C19" s="19"/>
      <c r="D19" s="19"/>
      <c r="E19" s="19"/>
      <c r="F19" s="19"/>
      <c r="G19" s="19"/>
      <c r="H19" s="19"/>
      <c r="I19" s="19"/>
      <c r="J19" s="19"/>
    </row>
    <row r="21" customFormat="false" ht="15" hidden="false" customHeight="false" outlineLevel="0" collapsed="false">
      <c r="A21" s="6" t="s">
        <v>321</v>
      </c>
      <c r="B21" s="53" t="n">
        <f aca="false">Assumptions!B70</f>
        <v>0.0524</v>
      </c>
    </row>
    <row r="22" customFormat="false" ht="15" hidden="false" customHeight="false" outlineLevel="0" collapsed="false">
      <c r="A22" s="6" t="s">
        <v>99</v>
      </c>
      <c r="B22" s="54" t="n">
        <f aca="false">Assumptions!B72</f>
        <v>1.85</v>
      </c>
    </row>
    <row r="23" customFormat="false" ht="15" hidden="false" customHeight="false" outlineLevel="0" collapsed="false">
      <c r="A23" s="6" t="s">
        <v>97</v>
      </c>
      <c r="B23" s="53" t="n">
        <f aca="false">Assumptions!B71</f>
        <v>0.045</v>
      </c>
    </row>
    <row r="24" customFormat="false" ht="15" hidden="false" customHeight="false" outlineLevel="0" collapsed="false">
      <c r="A24" s="6" t="s">
        <v>322</v>
      </c>
      <c r="B24" s="45" t="n">
        <f aca="false">B21+B22*B23</f>
        <v>0.13565</v>
      </c>
      <c r="J24" s="2" t="s">
        <v>323</v>
      </c>
    </row>
    <row r="25" customFormat="false" ht="15" hidden="false" customHeight="false" outlineLevel="0" collapsed="false">
      <c r="A25" s="6" t="s">
        <v>324</v>
      </c>
      <c r="B25" s="53" t="n">
        <f aca="false">Assumptions!B73</f>
        <v>0.055</v>
      </c>
    </row>
    <row r="26" customFormat="false" ht="15" hidden="false" customHeight="false" outlineLevel="0" collapsed="false">
      <c r="A26" s="6" t="s">
        <v>325</v>
      </c>
      <c r="B26" s="53" t="n">
        <f aca="false">Assumptions!I65</f>
        <v>0.25</v>
      </c>
    </row>
    <row r="27" customFormat="false" ht="15" hidden="false" customHeight="false" outlineLevel="0" collapsed="false">
      <c r="A27" s="6" t="s">
        <v>326</v>
      </c>
      <c r="B27" s="45" t="n">
        <f aca="false">B25*(1-B26)</f>
        <v>0.04125</v>
      </c>
    </row>
    <row r="28" customFormat="false" ht="15" hidden="false" customHeight="false" outlineLevel="0" collapsed="false">
      <c r="A28" s="6" t="s">
        <v>327</v>
      </c>
      <c r="B28" s="55" t="n">
        <f aca="false">Assumptions!B74</f>
        <v>358.54</v>
      </c>
    </row>
    <row r="29" customFormat="false" ht="15" hidden="false" customHeight="false" outlineLevel="0" collapsed="false">
      <c r="A29" s="6" t="s">
        <v>328</v>
      </c>
      <c r="B29" s="27" t="n">
        <f aca="false">Assumptions!B75</f>
        <v>3950</v>
      </c>
    </row>
    <row r="30" customFormat="false" ht="15" hidden="false" customHeight="false" outlineLevel="0" collapsed="false">
      <c r="A30" s="6" t="s">
        <v>329</v>
      </c>
      <c r="B30" s="38" t="n">
        <f aca="false">B28*B29</f>
        <v>1416233</v>
      </c>
    </row>
    <row r="31" customFormat="false" ht="15" hidden="false" customHeight="false" outlineLevel="0" collapsed="false">
      <c r="A31" s="6" t="s">
        <v>330</v>
      </c>
      <c r="B31" s="27" t="n">
        <f aca="false">BS!D19</f>
        <v>8376</v>
      </c>
    </row>
    <row r="32" customFormat="false" ht="15" hidden="false" customHeight="false" outlineLevel="0" collapsed="false">
      <c r="A32" s="6" t="s">
        <v>331</v>
      </c>
      <c r="B32" s="56" t="n">
        <f aca="false">B30/(B30+B31)</f>
        <v>0.994120492008685</v>
      </c>
    </row>
    <row r="33" customFormat="false" ht="15" hidden="false" customHeight="false" outlineLevel="0" collapsed="false">
      <c r="A33" s="6" t="s">
        <v>332</v>
      </c>
      <c r="B33" s="56" t="n">
        <f aca="false">B31/(B30+B31)</f>
        <v>0.00587950799131551</v>
      </c>
    </row>
    <row r="34" customFormat="false" ht="15" hidden="false" customHeight="false" outlineLevel="0" collapsed="false">
      <c r="A34" s="5" t="s">
        <v>20</v>
      </c>
      <c r="B34" s="57" t="n">
        <f aca="false">B32*B24+B33*B27</f>
        <v>0.13509497444562</v>
      </c>
      <c r="J34" s="2" t="s">
        <v>333</v>
      </c>
    </row>
    <row r="36" customFormat="false" ht="15" hidden="false" customHeight="false" outlineLevel="0" collapsed="false">
      <c r="A36" s="18" t="s">
        <v>334</v>
      </c>
      <c r="B36" s="19"/>
      <c r="C36" s="19"/>
      <c r="D36" s="19"/>
      <c r="E36" s="19"/>
      <c r="F36" s="19"/>
      <c r="G36" s="19"/>
      <c r="H36" s="19"/>
      <c r="I36" s="19"/>
      <c r="J36" s="19"/>
    </row>
    <row r="37" customFormat="false" ht="15" hidden="false" customHeight="false" outlineLevel="0" collapsed="false">
      <c r="A37" s="6" t="s">
        <v>106</v>
      </c>
      <c r="B37" s="53" t="n">
        <f aca="false">Assumptions!B76</f>
        <v>0.03</v>
      </c>
    </row>
    <row r="38" customFormat="false" ht="15" hidden="false" customHeight="false" outlineLevel="0" collapsed="false">
      <c r="A38" s="6" t="s">
        <v>335</v>
      </c>
      <c r="B38" s="38" t="n">
        <f aca="false">I13</f>
        <v>8261.80825065795</v>
      </c>
    </row>
    <row r="39" customFormat="false" ht="15" hidden="false" customHeight="false" outlineLevel="0" collapsed="false">
      <c r="A39" s="6" t="s">
        <v>336</v>
      </c>
      <c r="B39" s="38" t="n">
        <f aca="false">B38*(1+B37)/(B34-B37)</f>
        <v>80971.1648255923</v>
      </c>
    </row>
    <row r="40" customFormat="false" ht="15" hidden="false" customHeight="false" outlineLevel="0" collapsed="false">
      <c r="A40" s="6" t="s">
        <v>337</v>
      </c>
      <c r="B40" s="38" t="n">
        <f aca="false">B39*I16</f>
        <v>42970.3986305652</v>
      </c>
    </row>
    <row r="41" customFormat="false" ht="15" hidden="false" customHeight="false" outlineLevel="0" collapsed="false">
      <c r="A41" s="6" t="s">
        <v>338</v>
      </c>
      <c r="B41" s="38" t="n">
        <f aca="false">SUM(E17:I17)</f>
        <v>-2292.22469122714</v>
      </c>
    </row>
    <row r="42" customFormat="false" ht="15" hidden="false" customHeight="false" outlineLevel="0" collapsed="false">
      <c r="A42" s="5" t="s">
        <v>339</v>
      </c>
      <c r="B42" s="41" t="n">
        <f aca="false">B40+B41</f>
        <v>40678.173939338</v>
      </c>
    </row>
    <row r="43" customFormat="false" ht="15" hidden="false" customHeight="false" outlineLevel="0" collapsed="false">
      <c r="A43" s="6" t="s">
        <v>340</v>
      </c>
      <c r="B43" s="56" t="n">
        <f aca="false">B40/B42</f>
        <v>1.0563502357467</v>
      </c>
    </row>
    <row r="44" customFormat="false" ht="15" hidden="false" customHeight="false" outlineLevel="0" collapsed="false">
      <c r="A44" s="6" t="s">
        <v>341</v>
      </c>
      <c r="B44" s="46" t="n">
        <f aca="false">B39/IS!I38</f>
        <v>3.56573434715367</v>
      </c>
      <c r="J44" s="2" t="s">
        <v>342</v>
      </c>
    </row>
    <row r="45" customFormat="false" ht="15" hidden="false" customHeight="false" outlineLevel="0" collapsed="false">
      <c r="A45" s="6" t="s">
        <v>343</v>
      </c>
      <c r="B45" s="46" t="n">
        <f aca="false">-I11/I10</f>
        <v>1.14463545209954</v>
      </c>
      <c r="J45" s="2" t="s">
        <v>344</v>
      </c>
    </row>
    <row r="47" customFormat="false" ht="15" hidden="false" customHeight="false" outlineLevel="0" collapsed="false">
      <c r="A47" s="18" t="s">
        <v>345</v>
      </c>
      <c r="B47" s="19"/>
      <c r="C47" s="19"/>
      <c r="D47" s="19"/>
      <c r="E47" s="19"/>
      <c r="F47" s="19"/>
      <c r="G47" s="19"/>
      <c r="H47" s="19"/>
      <c r="I47" s="19"/>
      <c r="J47" s="19"/>
    </row>
    <row r="48" customFormat="false" ht="15" hidden="false" customHeight="false" outlineLevel="0" collapsed="false">
      <c r="A48" s="6" t="s">
        <v>339</v>
      </c>
      <c r="B48" s="38" t="n">
        <f aca="false">B42</f>
        <v>40678.173939338</v>
      </c>
    </row>
    <row r="49" customFormat="false" ht="15" hidden="false" customHeight="false" outlineLevel="0" collapsed="false">
      <c r="A49" s="6" t="s">
        <v>346</v>
      </c>
      <c r="B49" s="38" t="n">
        <f aca="false">-BS!D19</f>
        <v>-8376</v>
      </c>
    </row>
    <row r="50" customFormat="false" ht="15" hidden="false" customHeight="false" outlineLevel="0" collapsed="false">
      <c r="A50" s="6" t="s">
        <v>347</v>
      </c>
      <c r="B50" s="27" t="n">
        <f aca="false">BS!D6</f>
        <v>44059</v>
      </c>
    </row>
    <row r="51" customFormat="false" ht="15" hidden="false" customHeight="false" outlineLevel="0" collapsed="false">
      <c r="A51" s="6" t="s">
        <v>348</v>
      </c>
      <c r="B51" s="27" t="n">
        <f aca="false">BS!D12</f>
        <v>1008</v>
      </c>
    </row>
    <row r="52" customFormat="false" ht="15" hidden="false" customHeight="false" outlineLevel="0" collapsed="false">
      <c r="A52" s="6" t="s">
        <v>349</v>
      </c>
      <c r="B52" s="38" t="n">
        <f aca="false">-BS!D24</f>
        <v>-728</v>
      </c>
      <c r="J52" s="2" t="s">
        <v>350</v>
      </c>
    </row>
    <row r="53" customFormat="false" ht="15" hidden="false" customHeight="false" outlineLevel="0" collapsed="false">
      <c r="A53" s="5" t="s">
        <v>351</v>
      </c>
      <c r="B53" s="41" t="n">
        <f aca="false">SUM(B48:B52)</f>
        <v>76641.173939338</v>
      </c>
    </row>
    <row r="54" customFormat="false" ht="15" hidden="false" customHeight="false" outlineLevel="0" collapsed="false">
      <c r="A54" s="6" t="s">
        <v>328</v>
      </c>
      <c r="B54" s="38" t="n">
        <f aca="false">B29</f>
        <v>3950</v>
      </c>
    </row>
    <row r="55" customFormat="false" ht="15" hidden="false" customHeight="false" outlineLevel="0" collapsed="false">
      <c r="A55" s="5" t="s">
        <v>22</v>
      </c>
      <c r="B55" s="58" t="n">
        <f aca="false">B53/B54</f>
        <v>19.402828845402</v>
      </c>
    </row>
    <row r="56" customFormat="false" ht="15" hidden="false" customHeight="false" outlineLevel="0" collapsed="false">
      <c r="A56" s="6" t="s">
        <v>23</v>
      </c>
      <c r="B56" s="59" t="n">
        <f aca="false">B28</f>
        <v>358.54</v>
      </c>
    </row>
    <row r="57" customFormat="false" ht="15" hidden="false" customHeight="false" outlineLevel="0" collapsed="false">
      <c r="A57" s="6" t="s">
        <v>352</v>
      </c>
      <c r="B57" s="60" t="n">
        <f aca="false">B55/B56-1</f>
        <v>-0.945883781878167</v>
      </c>
      <c r="J57" s="2" t="s">
        <v>353</v>
      </c>
    </row>
    <row r="59" customFormat="false" ht="15" hidden="false" customHeight="false" outlineLevel="0" collapsed="false">
      <c r="A59" s="18" t="s">
        <v>354</v>
      </c>
      <c r="B59" s="19"/>
      <c r="C59" s="19"/>
      <c r="D59" s="19"/>
      <c r="E59" s="19"/>
      <c r="F59" s="19"/>
      <c r="G59" s="19"/>
      <c r="H59" s="19"/>
      <c r="I59" s="19"/>
      <c r="J59" s="19"/>
    </row>
    <row r="60" customFormat="false" ht="15" hidden="false" customHeight="false" outlineLevel="0" collapsed="false">
      <c r="B60" s="61" t="s">
        <v>355</v>
      </c>
      <c r="C60" s="62" t="n">
        <f aca="false">$B$37+(-0.01)</f>
        <v>0.02</v>
      </c>
      <c r="D60" s="62" t="n">
        <f aca="false">$B$37+(-0.005)</f>
        <v>0.025</v>
      </c>
      <c r="E60" s="62" t="n">
        <f aca="false">$B$37+(0)</f>
        <v>0.03</v>
      </c>
      <c r="F60" s="62" t="n">
        <f aca="false">$B$37+(0.005)</f>
        <v>0.035</v>
      </c>
      <c r="G60" s="62" t="n">
        <f aca="false">$B$37+(0.01)</f>
        <v>0.04</v>
      </c>
      <c r="J60" s="2" t="s">
        <v>356</v>
      </c>
    </row>
    <row r="61" customFormat="false" ht="15" hidden="false" customHeight="false" outlineLevel="0" collapsed="false">
      <c r="B61" s="62" t="n">
        <f aca="false">$B$34+(-0.02)</f>
        <v>0.11509497444562</v>
      </c>
      <c r="C61" s="59" t="n">
        <f aca="false">(SUMPRODUCT($E$13:$I$13/(1+$B61)^$E$15:$I$15)+$I$13*(1+C$60)/($B61-C$60)/(1+$B61)^$I$15+($B$53-$B$48))/$B$54</f>
        <v>21.6553330106447</v>
      </c>
      <c r="D61" s="59" t="n">
        <f aca="false">(SUMPRODUCT($E$13:$I$13/(1+$B61)^$E$15:$I$15)+$I$13*(1+D$60)/($B61-D$60)/(1+$B61)^$I$15+($B$53-$B$48))/$B$54</f>
        <v>22.4448154117179</v>
      </c>
      <c r="E61" s="59" t="n">
        <f aca="false">(SUMPRODUCT($E$13:$I$13/(1+$B61)^$E$15:$I$15)+$I$13*(1+E$60)/($B61-E$60)/(1+$B61)^$I$15+($B$53-$B$48))/$B$54</f>
        <v>23.3270744316475</v>
      </c>
      <c r="F61" s="59" t="n">
        <f aca="false">(SUMPRODUCT($E$13:$I$13/(1+$B61)^$E$15:$I$15)+$I$13*(1+F$60)/($B61-F$60)/(1+$B61)^$I$15+($B$53-$B$48))/$B$54</f>
        <v>24.3194850592199</v>
      </c>
      <c r="G61" s="59" t="n">
        <f aca="false">(SUMPRODUCT($E$13:$I$13/(1+$B61)^$E$15:$I$15)+$I$13*(1+G$60)/($B61-G$60)/(1+$B61)^$I$15+($B$53-$B$48))/$B$54</f>
        <v>25.4440497536788</v>
      </c>
    </row>
    <row r="62" customFormat="false" ht="15" hidden="false" customHeight="false" outlineLevel="0" collapsed="false">
      <c r="B62" s="62" t="n">
        <f aca="false">$B$34+(-0.01)</f>
        <v>0.12509497444562</v>
      </c>
      <c r="C62" s="59" t="n">
        <f aca="false">(SUMPRODUCT($E$13:$I$13/(1+$B62)^$E$15:$I$15)+$I$13*(1+C$60)/($B62-C$60)/(1+$B62)^$I$15+($B$53-$B$48))/$B$54</f>
        <v>19.8419667221703</v>
      </c>
      <c r="D62" s="59" t="n">
        <f aca="false">(SUMPRODUCT($E$13:$I$13/(1+$B62)^$E$15:$I$15)+$I$13*(1+D$60)/($B62-D$60)/(1+$B62)^$I$15+($B$53-$B$48))/$B$54</f>
        <v>20.4624028214628</v>
      </c>
      <c r="E62" s="59" t="n">
        <f aca="false">(SUMPRODUCT($E$13:$I$13/(1+$B62)^$E$15:$I$15)+$I$13*(1+E$60)/($B62-E$60)/(1+$B62)^$I$15+($B$53-$B$48))/$B$54</f>
        <v>21.1480827575521</v>
      </c>
      <c r="F62" s="59" t="n">
        <f aca="false">(SUMPRODUCT($E$13:$I$13/(1+$B62)^$E$15:$I$15)+$I$13*(1+F$60)/($B62-F$60)/(1+$B62)^$I$15+($B$53-$B$48))/$B$54</f>
        <v>21.9098690403392</v>
      </c>
      <c r="G62" s="59" t="n">
        <f aca="false">(SUMPRODUCT($E$13:$I$13/(1+$B62)^$E$15:$I$15)+$I$13*(1+G$60)/($B62-G$60)/(1+$B62)^$I$15+($B$53-$B$48))/$B$54</f>
        <v>22.7611772117866</v>
      </c>
    </row>
    <row r="63" customFormat="false" ht="15" hidden="false" customHeight="false" outlineLevel="0" collapsed="false">
      <c r="B63" s="62" t="n">
        <f aca="false">$B$34+(0)</f>
        <v>0.13509497444562</v>
      </c>
      <c r="C63" s="59" t="n">
        <f aca="false">(SUMPRODUCT($E$13:$I$13/(1+$B63)^$E$15:$I$15)+$I$13*(1+C$60)/($B63-C$60)/(1+$B63)^$I$15+($B$53-$B$48))/$B$54</f>
        <v>18.3612050267054</v>
      </c>
      <c r="D63" s="59" t="n">
        <f aca="false">(SUMPRODUCT($E$13:$I$13/(1+$B63)^$E$15:$I$15)+$I$13*(1+D$60)/($B63-D$60)/(1+$B63)^$I$15+($B$53-$B$48))/$B$54</f>
        <v>18.8583640894106</v>
      </c>
      <c r="E63" s="63" t="n">
        <f aca="false">(SUMPRODUCT($E$13:$I$13/(1+$B63)^$E$15:$I$15)+$I$13*(1+E$60)/($B63-E$60)/(1+$B63)^$I$15+($B$53-$B$48))/$B$54</f>
        <v>19.402828845402</v>
      </c>
      <c r="F63" s="59" t="n">
        <f aca="false">(SUMPRODUCT($E$13:$I$13/(1+$B63)^$E$15:$I$15)+$I$13*(1+F$60)/($B63-F$60)/(1+$B63)^$I$15+($B$53-$B$48))/$B$54</f>
        <v>20.0016884158192</v>
      </c>
      <c r="G63" s="59" t="n">
        <f aca="false">(SUMPRODUCT($E$13:$I$13/(1+$B63)^$E$15:$I$15)+$I$13*(1+G$60)/($B63-G$60)/(1+$B63)^$I$15+($B$53-$B$48))/$B$54</f>
        <v>20.6635228778022</v>
      </c>
    </row>
    <row r="64" customFormat="false" ht="15" hidden="false" customHeight="false" outlineLevel="0" collapsed="false">
      <c r="B64" s="62" t="n">
        <f aca="false">$B$34+(0.01)</f>
        <v>0.14509497444562</v>
      </c>
      <c r="C64" s="59" t="n">
        <f aca="false">(SUMPRODUCT($E$13:$I$13/(1+$B64)^$E$15:$I$15)+$I$13*(1+C$60)/($B64-C$60)/(1+$B64)^$I$15+($B$53-$B$48))/$B$54</f>
        <v>17.1326064617324</v>
      </c>
      <c r="D64" s="59" t="n">
        <f aca="false">(SUMPRODUCT($E$13:$I$13/(1+$B64)^$E$15:$I$15)+$I$13*(1+D$60)/($B64-D$60)/(1+$B64)^$I$15+($B$53-$B$48))/$B$54</f>
        <v>17.5374780379462</v>
      </c>
      <c r="E64" s="59" t="n">
        <f aca="false">(SUMPRODUCT($E$13:$I$13/(1+$B64)^$E$15:$I$15)+$I$13*(1+E$60)/($B64-E$60)/(1+$B64)^$I$15+($B$53-$B$48))/$B$54</f>
        <v>17.9775267865921</v>
      </c>
      <c r="F64" s="59" t="n">
        <f aca="false">(SUMPRODUCT($E$13:$I$13/(1+$B64)^$E$15:$I$15)+$I$13*(1+F$60)/($B64-F$60)/(1+$B64)^$I$15+($B$53-$B$48))/$B$54</f>
        <v>18.4575454567409</v>
      </c>
      <c r="G64" s="59" t="n">
        <f aca="false">(SUMPRODUCT($E$13:$I$13/(1+$B64)^$E$15:$I$15)+$I$13*(1+G$60)/($B64-G$60)/(1+$B64)^$I$15+($B$53-$B$48))/$B$54</f>
        <v>18.9832388770556</v>
      </c>
    </row>
    <row r="65" customFormat="false" ht="15" hidden="false" customHeight="false" outlineLevel="0" collapsed="false">
      <c r="B65" s="62" t="n">
        <f aca="false">$B$34+(0.02)</f>
        <v>0.15509497444562</v>
      </c>
      <c r="C65" s="59" t="n">
        <f aca="false">(SUMPRODUCT($E$13:$I$13/(1+$B65)^$E$15:$I$15)+$I$13*(1+C$60)/($B65-C$60)/(1+$B65)^$I$15+($B$53-$B$48))/$B$54</f>
        <v>16.0995799315616</v>
      </c>
      <c r="D65" s="59" t="n">
        <f aca="false">(SUMPRODUCT($E$13:$I$13/(1+$B65)^$E$15:$I$15)+$I$13*(1+D$60)/($B65-D$60)/(1+$B65)^$I$15+($B$53-$B$48))/$B$54</f>
        <v>16.4338346363455</v>
      </c>
      <c r="E65" s="59" t="n">
        <f aca="false">(SUMPRODUCT($E$13:$I$13/(1+$B65)^$E$15:$I$15)+$I$13*(1+E$60)/($B65-E$60)/(1+$B65)^$I$15+($B$53-$B$48))/$B$54</f>
        <v>16.7948094157178</v>
      </c>
      <c r="F65" s="59" t="n">
        <f aca="false">(SUMPRODUCT($E$13:$I$13/(1+$B65)^$E$15:$I$15)+$I$13*(1+F$60)/($B65-F$60)/(1+$B65)^$I$15+($B$53-$B$48))/$B$54</f>
        <v>17.18584163763</v>
      </c>
      <c r="G65" s="59" t="n">
        <f aca="false">(SUMPRODUCT($E$13:$I$13/(1+$B65)^$E$15:$I$15)+$I$13*(1+G$60)/($B65-G$60)/(1+$B65)^$I$15+($B$53-$B$48))/$B$54</f>
        <v>17.6108486029049</v>
      </c>
    </row>
    <row r="67" customFormat="false" ht="15" hidden="false" customHeight="false" outlineLevel="0" collapsed="false">
      <c r="A67" s="18" t="s">
        <v>357</v>
      </c>
      <c r="B67" s="19"/>
      <c r="C67" s="19"/>
      <c r="D67" s="19"/>
      <c r="E67" s="19"/>
      <c r="F67" s="19"/>
      <c r="G67" s="19"/>
      <c r="H67" s="19"/>
      <c r="I67" s="19"/>
      <c r="J67" s="19"/>
    </row>
    <row r="68" customFormat="false" ht="15" hidden="false" customHeight="false" outlineLevel="0" collapsed="false">
      <c r="A68" s="6" t="s">
        <v>329</v>
      </c>
      <c r="B68" s="38" t="n">
        <f aca="false">B30</f>
        <v>1416233</v>
      </c>
    </row>
    <row r="69" customFormat="false" ht="15" hidden="false" customHeight="false" outlineLevel="0" collapsed="false">
      <c r="A69" s="6" t="s">
        <v>358</v>
      </c>
      <c r="B69" s="38" t="n">
        <f aca="false">B68-B50-B51+(-B49)+(-B52)</f>
        <v>1380270</v>
      </c>
      <c r="J69" s="2" t="s">
        <v>359</v>
      </c>
    </row>
    <row r="70" customFormat="false" ht="15" hidden="false" customHeight="false" outlineLevel="0" collapsed="false">
      <c r="A70" s="6" t="s">
        <v>360</v>
      </c>
      <c r="B70" s="38" t="n">
        <f aca="false">-B41</f>
        <v>2292.22469122714</v>
      </c>
    </row>
    <row r="71" customFormat="false" ht="15" hidden="false" customHeight="false" outlineLevel="0" collapsed="false">
      <c r="A71" s="6" t="s">
        <v>361</v>
      </c>
      <c r="B71" s="38" t="n">
        <f aca="false">B69+B70</f>
        <v>1382562.22469123</v>
      </c>
    </row>
    <row r="72" customFormat="false" ht="15" hidden="false" customHeight="false" outlineLevel="0" collapsed="false">
      <c r="A72" s="6" t="s">
        <v>362</v>
      </c>
      <c r="B72" s="38" t="n">
        <f aca="false">B71*(1+B34)^I15</f>
        <v>2605227.72291625</v>
      </c>
    </row>
    <row r="73" customFormat="false" ht="15" hidden="false" customHeight="false" outlineLevel="0" collapsed="false">
      <c r="A73" s="6" t="s">
        <v>363</v>
      </c>
      <c r="B73" s="38" t="n">
        <f aca="false">B72*(B34-B37)/(1+B37)</f>
        <v>265821.690257188</v>
      </c>
    </row>
    <row r="74" customFormat="false" ht="15" hidden="false" customHeight="false" outlineLevel="0" collapsed="false">
      <c r="A74" s="6" t="s">
        <v>364</v>
      </c>
      <c r="B74" s="38" t="n">
        <f aca="false">B38</f>
        <v>8261.80825065795</v>
      </c>
    </row>
    <row r="75" customFormat="false" ht="15" hidden="false" customHeight="false" outlineLevel="0" collapsed="false">
      <c r="A75" s="5" t="s">
        <v>365</v>
      </c>
      <c r="B75" s="64" t="n">
        <f aca="false">IF(B74&gt;0,B73/B74,"n/a")</f>
        <v>32.1747591074894</v>
      </c>
      <c r="J75" s="2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3" t="s">
        <v>367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16" t="s">
        <v>369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6" t="s">
        <v>40</v>
      </c>
    </row>
    <row r="5" customFormat="false" ht="15" hidden="false" customHeight="false" outlineLevel="0" collapsed="false">
      <c r="A5" s="18" t="s">
        <v>370</v>
      </c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false" outlineLevel="0" collapsed="false">
      <c r="A6" s="6" t="s">
        <v>371</v>
      </c>
      <c r="B6" s="28" t="n">
        <v>96773</v>
      </c>
      <c r="C6" s="28" t="n">
        <v>97690</v>
      </c>
      <c r="D6" s="28" t="n">
        <v>94827</v>
      </c>
      <c r="J6" s="2" t="s">
        <v>202</v>
      </c>
    </row>
    <row r="7" customFormat="false" ht="15" hidden="false" customHeight="false" outlineLevel="0" collapsed="false">
      <c r="A7" s="6" t="s">
        <v>372</v>
      </c>
      <c r="B7" s="28" t="n">
        <v>17660</v>
      </c>
      <c r="C7" s="28" t="n">
        <v>17450</v>
      </c>
      <c r="D7" s="28" t="n">
        <v>17094</v>
      </c>
      <c r="J7" s="2" t="s">
        <v>202</v>
      </c>
    </row>
    <row r="8" customFormat="false" ht="15" hidden="false" customHeight="false" outlineLevel="0" collapsed="false">
      <c r="A8" s="6" t="s">
        <v>373</v>
      </c>
      <c r="B8" s="28" t="n">
        <v>8891</v>
      </c>
      <c r="C8" s="28" t="n">
        <v>7076</v>
      </c>
      <c r="D8" s="28" t="n">
        <v>4355</v>
      </c>
      <c r="J8" s="2" t="s">
        <v>202</v>
      </c>
    </row>
    <row r="9" customFormat="false" ht="15" hidden="false" customHeight="false" outlineLevel="0" collapsed="false">
      <c r="A9" s="6" t="s">
        <v>374</v>
      </c>
      <c r="B9" s="28" t="n">
        <v>14997</v>
      </c>
      <c r="C9" s="28" t="n">
        <v>7091</v>
      </c>
      <c r="D9" s="28" t="n">
        <v>3794</v>
      </c>
      <c r="J9" s="2" t="s">
        <v>202</v>
      </c>
    </row>
    <row r="10" customFormat="false" ht="15" hidden="false" customHeight="false" outlineLevel="0" collapsed="false">
      <c r="A10" s="6" t="s">
        <v>375</v>
      </c>
      <c r="B10" s="28" t="n">
        <v>13256</v>
      </c>
      <c r="C10" s="28" t="n">
        <v>14923</v>
      </c>
      <c r="D10" s="28" t="n">
        <v>14747</v>
      </c>
      <c r="J10" s="2" t="s">
        <v>202</v>
      </c>
    </row>
    <row r="11" customFormat="false" ht="15" hidden="false" customHeight="false" outlineLevel="0" collapsed="false">
      <c r="A11" s="6" t="s">
        <v>376</v>
      </c>
      <c r="B11" s="28" t="n">
        <v>4357</v>
      </c>
      <c r="C11" s="28" t="n">
        <v>3581</v>
      </c>
      <c r="D11" s="28" t="n">
        <v>6220</v>
      </c>
      <c r="J11" s="2" t="s">
        <v>202</v>
      </c>
    </row>
    <row r="12" customFormat="false" ht="15" hidden="false" customHeight="false" outlineLevel="0" collapsed="false">
      <c r="A12" s="6" t="s">
        <v>377</v>
      </c>
      <c r="D12" s="28" t="n">
        <v>-15478</v>
      </c>
      <c r="J12" s="2" t="s">
        <v>378</v>
      </c>
    </row>
    <row r="13" customFormat="false" ht="15" hidden="false" customHeight="false" outlineLevel="0" collapsed="false">
      <c r="A13" s="6" t="s">
        <v>379</v>
      </c>
      <c r="D13" s="28" t="n">
        <v>579</v>
      </c>
      <c r="J13" s="2" t="s">
        <v>380</v>
      </c>
    </row>
    <row r="14" customFormat="false" ht="15" hidden="false" customHeight="false" outlineLevel="0" collapsed="false">
      <c r="A14" s="6" t="s">
        <v>381</v>
      </c>
      <c r="C14" s="28" t="n">
        <v>122070</v>
      </c>
      <c r="D14" s="28" t="n">
        <v>137806</v>
      </c>
      <c r="J14" s="2" t="s">
        <v>382</v>
      </c>
    </row>
    <row r="15" customFormat="false" ht="15" hidden="false" customHeight="false" outlineLevel="0" collapsed="false">
      <c r="A15" s="6" t="s">
        <v>383</v>
      </c>
      <c r="C15" s="28" t="n">
        <v>48390</v>
      </c>
      <c r="D15" s="28" t="n">
        <v>54941</v>
      </c>
      <c r="J15" s="2" t="s">
        <v>382</v>
      </c>
    </row>
    <row r="17" customFormat="false" ht="15" hidden="false" customHeight="false" outlineLevel="0" collapsed="false">
      <c r="A17" s="18" t="s">
        <v>384</v>
      </c>
      <c r="B17" s="19"/>
      <c r="C17" s="19"/>
      <c r="D17" s="19"/>
      <c r="E17" s="19"/>
      <c r="F17" s="19"/>
      <c r="G17" s="19"/>
      <c r="H17" s="19"/>
      <c r="I17" s="19"/>
      <c r="J17" s="19"/>
    </row>
    <row r="18" customFormat="false" ht="15" hidden="false" customHeight="false" outlineLevel="0" collapsed="false">
      <c r="A18" s="6" t="s">
        <v>203</v>
      </c>
      <c r="B18" s="38" t="n">
        <f aca="false">IS!B9-B6</f>
        <v>0</v>
      </c>
      <c r="C18" s="38" t="n">
        <f aca="false">IS!C9-C6</f>
        <v>0</v>
      </c>
      <c r="D18" s="38" t="n">
        <f aca="false">IS!D9-D6</f>
        <v>0</v>
      </c>
    </row>
    <row r="19" customFormat="false" ht="15" hidden="false" customHeight="false" outlineLevel="0" collapsed="false">
      <c r="A19" s="6" t="s">
        <v>212</v>
      </c>
      <c r="B19" s="38" t="n">
        <f aca="false">IS!B15-B7</f>
        <v>0</v>
      </c>
      <c r="C19" s="38" t="n">
        <f aca="false">IS!C15-C7</f>
        <v>0</v>
      </c>
      <c r="D19" s="38" t="n">
        <f aca="false">IS!D15-D7</f>
        <v>0</v>
      </c>
    </row>
    <row r="20" customFormat="false" ht="15" hidden="false" customHeight="false" outlineLevel="0" collapsed="false">
      <c r="A20" s="6" t="s">
        <v>385</v>
      </c>
      <c r="B20" s="38" t="n">
        <f aca="false">IS!B21-B8</f>
        <v>0</v>
      </c>
      <c r="C20" s="38" t="n">
        <f aca="false">IS!C21-C8</f>
        <v>0</v>
      </c>
      <c r="D20" s="38" t="n">
        <f aca="false">IS!D21-D8</f>
        <v>0</v>
      </c>
    </row>
    <row r="21" customFormat="false" ht="15" hidden="false" customHeight="false" outlineLevel="0" collapsed="false">
      <c r="A21" s="6" t="s">
        <v>386</v>
      </c>
      <c r="B21" s="38" t="n">
        <f aca="false">IS!B31-B9</f>
        <v>0</v>
      </c>
      <c r="C21" s="38" t="n">
        <f aca="false">IS!C31-C9</f>
        <v>0</v>
      </c>
      <c r="D21" s="38" t="n">
        <f aca="false">IS!D31-D9</f>
        <v>0</v>
      </c>
    </row>
    <row r="22" customFormat="false" ht="15" hidden="false" customHeight="false" outlineLevel="0" collapsed="false">
      <c r="A22" s="6" t="s">
        <v>387</v>
      </c>
      <c r="B22" s="38" t="n">
        <f aca="false">CF!B11-B10</f>
        <v>0</v>
      </c>
      <c r="C22" s="38" t="n">
        <f aca="false">CF!C11-C10</f>
        <v>0</v>
      </c>
      <c r="D22" s="38" t="n">
        <f aca="false">CF!D11-D10</f>
        <v>0</v>
      </c>
    </row>
    <row r="23" customFormat="false" ht="15" hidden="false" customHeight="false" outlineLevel="0" collapsed="false">
      <c r="A23" s="6" t="s">
        <v>388</v>
      </c>
      <c r="B23" s="38" t="n">
        <f aca="false">CF!B21-B11</f>
        <v>0</v>
      </c>
      <c r="C23" s="38" t="n">
        <f aca="false">CF!C21-C11</f>
        <v>0</v>
      </c>
      <c r="D23" s="38" t="n">
        <f aca="false">CF!D21-D11</f>
        <v>0</v>
      </c>
    </row>
    <row r="24" customFormat="false" ht="15" hidden="false" customHeight="false" outlineLevel="0" collapsed="false">
      <c r="A24" s="6" t="s">
        <v>389</v>
      </c>
      <c r="D24" s="38" t="n">
        <f aca="false">CF!D15-D12</f>
        <v>0</v>
      </c>
    </row>
    <row r="25" customFormat="false" ht="15" hidden="false" customHeight="false" outlineLevel="0" collapsed="false">
      <c r="A25" s="6" t="s">
        <v>390</v>
      </c>
      <c r="D25" s="38" t="n">
        <f aca="false">CF!D19-D13</f>
        <v>0</v>
      </c>
    </row>
    <row r="26" customFormat="false" ht="15" hidden="false" customHeight="false" outlineLevel="0" collapsed="false">
      <c r="A26" s="6" t="s">
        <v>259</v>
      </c>
      <c r="C26" s="38" t="n">
        <f aca="false">BS!C14-C14</f>
        <v>0</v>
      </c>
      <c r="D26" s="38" t="n">
        <f aca="false">BS!D14-D14</f>
        <v>0</v>
      </c>
    </row>
    <row r="27" customFormat="false" ht="15" hidden="false" customHeight="false" outlineLevel="0" collapsed="false">
      <c r="A27" s="6" t="s">
        <v>268</v>
      </c>
      <c r="C27" s="38" t="n">
        <f aca="false">BS!C21-C15</f>
        <v>0</v>
      </c>
      <c r="D27" s="38" t="n">
        <f aca="false">BS!D21-D15</f>
        <v>0</v>
      </c>
    </row>
    <row r="28" customFormat="false" ht="15" hidden="false" customHeight="false" outlineLevel="0" collapsed="false">
      <c r="A28" s="6" t="s">
        <v>391</v>
      </c>
      <c r="C28" s="27" t="n">
        <f aca="false">BS!C28</f>
        <v>0</v>
      </c>
      <c r="D28" s="27" t="n">
        <f aca="false">BS!D28</f>
        <v>0</v>
      </c>
      <c r="E28" s="27" t="n">
        <f aca="false">BS!E28</f>
        <v>0</v>
      </c>
      <c r="F28" s="27" t="n">
        <f aca="false">BS!F28</f>
        <v>0</v>
      </c>
      <c r="G28" s="27" t="n">
        <f aca="false">BS!G28</f>
        <v>0</v>
      </c>
      <c r="H28" s="27" t="n">
        <f aca="false">BS!H28</f>
        <v>0</v>
      </c>
      <c r="I28" s="27" t="n">
        <f aca="false">BS!I28</f>
        <v>0</v>
      </c>
    </row>
    <row r="29" customFormat="false" ht="15" hidden="false" customHeight="false" outlineLevel="0" collapsed="false">
      <c r="A29" s="6" t="s">
        <v>392</v>
      </c>
      <c r="E29" s="38" t="n">
        <f aca="false">(BS!E6-BS!D6)-CF!E19</f>
        <v>0</v>
      </c>
      <c r="F29" s="38" t="n">
        <f aca="false">(BS!F6-BS!E6)-CF!F19</f>
        <v>0</v>
      </c>
      <c r="G29" s="38" t="n">
        <f aca="false">(BS!G6-BS!F6)-CF!G19</f>
        <v>0</v>
      </c>
      <c r="H29" s="38" t="n">
        <f aca="false">(BS!H6-BS!G6)-CF!H19</f>
        <v>0</v>
      </c>
      <c r="I29" s="38" t="n">
        <f aca="false">(BS!I6-BS!H6)-CF!I19</f>
        <v>0</v>
      </c>
    </row>
    <row r="30" customFormat="false" ht="15" hidden="false" customHeight="false" outlineLevel="0" collapsed="false">
      <c r="A30" s="6" t="s">
        <v>393</v>
      </c>
      <c r="E30" s="65" t="n">
        <f aca="false">DCF!E63-DCF!B55</f>
        <v>0</v>
      </c>
    </row>
    <row r="31" customFormat="false" ht="15" hidden="false" customHeight="false" outlineLevel="0" collapsed="false">
      <c r="A31" s="6" t="s">
        <v>394</v>
      </c>
      <c r="D31" s="38" t="n">
        <f aca="false">Schedules!D99-BS!D19</f>
        <v>0</v>
      </c>
    </row>
    <row r="32" customFormat="false" ht="15" hidden="false" customHeight="false" outlineLevel="0" collapsed="false">
      <c r="A32" s="6" t="s">
        <v>395</v>
      </c>
      <c r="E32" s="38" t="n">
        <f aca="false">Schedules!E99-BS!E19</f>
        <v>0</v>
      </c>
      <c r="F32" s="38" t="n">
        <f aca="false">Schedules!F99-BS!F19</f>
        <v>0</v>
      </c>
      <c r="G32" s="38" t="n">
        <f aca="false">Schedules!G99-BS!G19</f>
        <v>0</v>
      </c>
      <c r="H32" s="38" t="n">
        <f aca="false">Schedules!H99-BS!H19</f>
        <v>0</v>
      </c>
      <c r="I32" s="38" t="n">
        <f aca="false">Schedules!I99-BS!I19</f>
        <v>0</v>
      </c>
    </row>
    <row r="33" customFormat="false" ht="15" hidden="false" customHeight="false" outlineLevel="0" collapsed="false">
      <c r="A33" s="6" t="s">
        <v>396</v>
      </c>
      <c r="E33" s="38" t="n">
        <f aca="false">Schedules!E44-BS!E18</f>
        <v>0</v>
      </c>
      <c r="F33" s="38" t="n">
        <f aca="false">Schedules!F44-BS!F18</f>
        <v>0</v>
      </c>
      <c r="G33" s="38" t="n">
        <f aca="false">Schedules!G44-BS!G18</f>
        <v>0</v>
      </c>
      <c r="H33" s="38" t="n">
        <f aca="false">Schedules!H44-BS!H18</f>
        <v>0</v>
      </c>
      <c r="I33" s="38" t="n">
        <f aca="false">Schedules!I44-BS!I18</f>
        <v>0</v>
      </c>
    </row>
    <row r="34" customFormat="false" ht="15" hidden="false" customHeight="false" outlineLevel="0" collapsed="false">
      <c r="A34" s="6" t="s">
        <v>397</v>
      </c>
      <c r="E34" s="38" t="n">
        <f aca="false">Schedules!E41-BS!D18</f>
        <v>0</v>
      </c>
    </row>
    <row r="35" customFormat="false" ht="15" hidden="false" customHeight="false" outlineLevel="0" collapsed="false">
      <c r="A35" s="6" t="s">
        <v>398</v>
      </c>
      <c r="E35" s="38" t="n">
        <f aca="false">Schedules!E19+Schedules!E34+IS!E8-IS!E9</f>
        <v>0</v>
      </c>
      <c r="F35" s="38" t="n">
        <f aca="false">Schedules!F19+Schedules!F34+IS!F8-IS!F9</f>
        <v>0</v>
      </c>
      <c r="G35" s="38" t="n">
        <f aca="false">Schedules!G19+Schedules!G34+IS!G8-IS!G9</f>
        <v>0</v>
      </c>
      <c r="H35" s="38" t="n">
        <f aca="false">Schedules!H19+Schedules!H34+IS!H8-IS!H9</f>
        <v>0</v>
      </c>
      <c r="I35" s="38" t="n">
        <f aca="false">Schedules!I19+Schedules!I34+IS!I8-IS!I9</f>
        <v>0</v>
      </c>
    </row>
    <row r="36" customFormat="false" ht="15" hidden="false" customHeight="false" outlineLevel="0" collapsed="false">
      <c r="A36" s="6" t="s">
        <v>399</v>
      </c>
      <c r="C36" s="65" t="n">
        <f aca="false">(Schedules!C57-1)*100</f>
        <v>0</v>
      </c>
    </row>
    <row r="38" customFormat="false" ht="15" hidden="false" customHeight="false" outlineLevel="0" collapsed="false">
      <c r="A38" s="5" t="s">
        <v>400</v>
      </c>
      <c r="B38" s="66" t="str">
        <f aca="false">IF(SUMPRODUCT(ABS(B18:I36))&lt;0.5,"ALL CHECKS PASS","CHECK ERRORS")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3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16" t="s">
        <v>403</v>
      </c>
      <c r="B4" s="16" t="s">
        <v>404</v>
      </c>
      <c r="C4" s="16" t="s">
        <v>405</v>
      </c>
    </row>
    <row r="5" customFormat="false" ht="22.35" hidden="false" customHeight="false" outlineLevel="0" collapsed="false">
      <c r="A5" s="67" t="s">
        <v>406</v>
      </c>
      <c r="B5" s="67" t="s">
        <v>407</v>
      </c>
      <c r="C5" s="67" t="s">
        <v>408</v>
      </c>
    </row>
    <row r="6" customFormat="false" ht="22.35" hidden="false" customHeight="false" outlineLevel="0" collapsed="false">
      <c r="A6" s="67" t="s">
        <v>409</v>
      </c>
      <c r="B6" s="67" t="s">
        <v>410</v>
      </c>
      <c r="C6" s="67" t="s">
        <v>411</v>
      </c>
    </row>
    <row r="7" customFormat="false" ht="22.35" hidden="false" customHeight="false" outlineLevel="0" collapsed="false">
      <c r="A7" s="67" t="s">
        <v>412</v>
      </c>
      <c r="B7" s="67" t="s">
        <v>413</v>
      </c>
      <c r="C7" s="67" t="s">
        <v>414</v>
      </c>
    </row>
    <row r="8" customFormat="false" ht="32.8" hidden="false" customHeight="false" outlineLevel="0" collapsed="false">
      <c r="A8" s="67" t="s">
        <v>415</v>
      </c>
      <c r="B8" s="67" t="s">
        <v>416</v>
      </c>
      <c r="C8" s="67" t="s">
        <v>417</v>
      </c>
    </row>
    <row r="9" customFormat="false" ht="22.35" hidden="false" customHeight="false" outlineLevel="0" collapsed="false">
      <c r="A9" s="67" t="s">
        <v>418</v>
      </c>
      <c r="B9" s="67" t="s">
        <v>419</v>
      </c>
      <c r="C9" s="67" t="s">
        <v>420</v>
      </c>
    </row>
    <row r="10" customFormat="false" ht="15" hidden="false" customHeight="false" outlineLevel="0" collapsed="false">
      <c r="A10" s="67" t="s">
        <v>421</v>
      </c>
      <c r="B10" s="67" t="s">
        <v>422</v>
      </c>
      <c r="C10" s="67" t="s">
        <v>423</v>
      </c>
    </row>
    <row r="11" customFormat="false" ht="22.35" hidden="false" customHeight="false" outlineLevel="0" collapsed="false">
      <c r="A11" s="67" t="s">
        <v>424</v>
      </c>
      <c r="B11" s="67" t="s">
        <v>425</v>
      </c>
      <c r="C11" s="67" t="s">
        <v>426</v>
      </c>
    </row>
    <row r="12" customFormat="false" ht="15" hidden="false" customHeight="false" outlineLevel="0" collapsed="false">
      <c r="A12" s="67" t="s">
        <v>427</v>
      </c>
      <c r="B12" s="67" t="s">
        <v>428</v>
      </c>
      <c r="C12" s="67" t="s">
        <v>429</v>
      </c>
    </row>
    <row r="13" customFormat="false" ht="22.35" hidden="false" customHeight="false" outlineLevel="0" collapsed="false">
      <c r="A13" s="67" t="s">
        <v>430</v>
      </c>
      <c r="B13" s="67" t="s">
        <v>431</v>
      </c>
      <c r="C13" s="67" t="s">
        <v>432</v>
      </c>
    </row>
    <row r="14" customFormat="false" ht="22.35" hidden="false" customHeight="false" outlineLevel="0" collapsed="false">
      <c r="A14" s="67" t="s">
        <v>433</v>
      </c>
      <c r="B14" s="67" t="s">
        <v>434</v>
      </c>
      <c r="C14" s="67" t="s">
        <v>435</v>
      </c>
    </row>
    <row r="15" customFormat="false" ht="15" hidden="false" customHeight="false" outlineLevel="0" collapsed="false">
      <c r="A15" s="67" t="s">
        <v>436</v>
      </c>
      <c r="B15" s="67" t="s">
        <v>437</v>
      </c>
      <c r="C15" s="67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2026-10-05T10:37:03Z</dcterms:created>
  <dc:creator>openpyxl</dc:creator>
  <dc:description/>
  <dc:language>en-US</dc:language>
  <cp:lastModifiedBy/>
  <dcterms:modified xsi:type="dcterms:W3CDTF">2026-10-05T10:37:03Z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