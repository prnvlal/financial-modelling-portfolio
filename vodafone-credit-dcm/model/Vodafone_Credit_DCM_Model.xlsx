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Credit_Metrics" sheetId="3" state="visible" r:id="rId5"/>
    <sheet name="Comps" sheetId="4" state="visible" r:id="rId6"/>
    <sheet name="DCM_Pricing" sheetId="5" state="visible" r:id="rId7"/>
    <sheet name="Anchor_Deal" sheetId="6" state="visible" r:id="rId8"/>
    <sheet name="Terms_Covenant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<sst xmlns="http://schemas.openxmlformats.org/spreadsheetml/2006/main" count="351" uniqueCount="270">
  <si>
    <t xml:space="preserve">Vodafone Group Plc: Credit Metrics and Euro DCM Issuance Walkthrough</t>
  </si>
  <si>
    <t xml:space="preserve">Purpose</t>
  </si>
  <si>
    <t xml:space="preserve">Supports the companion credit note (Vodafone_Credit_Note, delivered as a separate .docx/.pdf) and prices an illustrative new euro 10-year off Vodafone's own bond curve.</t>
  </si>
  <si>
    <t xml:space="preserve">As of</t>
  </si>
  <si>
    <t xml:space="preserve">16 October 2026. Financials: FY26 (year to 31 March 2026) results of 12 May 2026 and the Q1 FY27 update of 27 July 2026. Bond quotes: Boerse Stuttgart, 15-16 Oct 2026 (two quotes dated 30 Sep are flagged on Comps).</t>
  </si>
  <si>
    <t xml:space="preserve">Colour code</t>
  </si>
  <si>
    <t xml:space="preserve">Blue = hardcoded, sourced input. Black = formula. Green = link to another sheet. Yellow fill = judgement or stale-data cell worth challenging.</t>
  </si>
  <si>
    <t xml:space="preserve">Pricing method</t>
  </si>
  <si>
    <t xml:space="preserve">Anchor on Vodafone's own secondary curve (spread to Bunds, interpolated to 10 years), add a new issue concession, then cross-check against peers and a curve regression. Peer data is a check, not an input to the price.</t>
  </si>
  <si>
    <t xml:space="preserve">Quoting basis</t>
  </si>
  <si>
    <t xml:space="preserve">Euro corporates are marketed over mid-swaps, but no public source for live swap rates was available, so the build is in Bund spreads, the basis the exchange data uses. Converting needs the 10-year swap-to-Bund basis.</t>
  </si>
  <si>
    <t xml:space="preserve">Scope</t>
  </si>
  <si>
    <t xml:space="preserve">Net debt follows Vodafone's definition (half of hybrids counted as debt). Safaricom net debt comes from its FY2026 balance sheet and may include leases. FY27 free cash flow after dividends is not rolled into pro forma net debt.</t>
  </si>
  <si>
    <t xml:space="preserve">Reported inputs (EUR m unless stated)</t>
  </si>
  <si>
    <t xml:space="preserve">Item</t>
  </si>
  <si>
    <t xml:space="preserve">FY25</t>
  </si>
  <si>
    <t xml:space="preserve">FY26</t>
  </si>
  <si>
    <t xml:space="preserve">Unit</t>
  </si>
  <si>
    <t xml:space="preserve">Source</t>
  </si>
  <si>
    <t xml:space="preserve">Revenue</t>
  </si>
  <si>
    <t xml:space="preserve">EUR m</t>
  </si>
  <si>
    <t xml:space="preserve">Vodafone FY26 preliminary results RNS, 12 May 2026 (data.fca.org.uk NSM)</t>
  </si>
  <si>
    <t xml:space="preserve">Service revenue</t>
  </si>
  <si>
    <t xml:space="preserve">Adjusted EBITDAaL</t>
  </si>
  <si>
    <t xml:space="preserve">Capital additions</t>
  </si>
  <si>
    <t xml:space="preserve">Adjusted free cash flow</t>
  </si>
  <si>
    <t xml:space="preserve">Free cash flow</t>
  </si>
  <si>
    <t xml:space="preserve">Equity dividends paid</t>
  </si>
  <si>
    <t xml:space="preserve">Share buybacks</t>
  </si>
  <si>
    <t xml:space="preserve">Net debt (company definition)</t>
  </si>
  <si>
    <t xml:space="preserve">Gross debt</t>
  </si>
  <si>
    <t xml:space="preserve">Bonds</t>
  </si>
  <si>
    <t xml:space="preserve">Cash and cash equivalents</t>
  </si>
  <si>
    <t xml:space="preserve">Short-term investments</t>
  </si>
  <si>
    <t xml:space="preserve">Lease liabilities</t>
  </si>
  <si>
    <t xml:space="preserve">Equity credit on hybrids (50%) included in net debt</t>
  </si>
  <si>
    <t xml:space="preserve">Total funding obligations</t>
  </si>
  <si>
    <t xml:space="preserve">FY26 results presentation, p.40 (reports.investors.vodafone.com)</t>
  </si>
  <si>
    <t xml:space="preserve">Adj. EBITDAaL before leases</t>
  </si>
  <si>
    <t xml:space="preserve">FY26 results presentation, p.40</t>
  </si>
  <si>
    <t xml:space="preserve">Adjusted net financing costs (reported)</t>
  </si>
  <si>
    <t xml:space="preserve">Gain on bond buybacks inside adjusted financing costs</t>
  </si>
  <si>
    <t xml:space="preserve">Net cash interest received and paid</t>
  </si>
  <si>
    <t xml:space="preserve">Guarantees over Australia JV loan</t>
  </si>
  <si>
    <t xml:space="preserve">Events and guidance (single values)</t>
  </si>
  <si>
    <t xml:space="preserve">Value</t>
  </si>
  <si>
    <t xml:space="preserve">VodafoneThree buyout cash cost (completed 3 Aug 2026)</t>
  </si>
  <si>
    <t xml:space="preserve">Vodafone RNS / advanced-television.com, 3 Aug 2026. Company: +0.4x pro forma leverage.</t>
  </si>
  <si>
    <t xml:space="preserve">Safaricom: cash paid by Vodacom to Kenya Govt for 15%</t>
  </si>
  <si>
    <t xml:space="preserve">FY26 RNS. Deal completed 30 Jun 2026 (Q1 FY27 trading update).</t>
  </si>
  <si>
    <t xml:space="preserve">VodafoneZiggo sale cash proceeds (expected H2 2026, not yet closed)</t>
  </si>
  <si>
    <t xml:space="preserve">FY26 RNS.</t>
  </si>
  <si>
    <t xml:space="preserve">Include VodafoneZiggo proceeds? (1=yes, 0=no)</t>
  </si>
  <si>
    <t xml:space="preserve">flag</t>
  </si>
  <si>
    <t xml:space="preserve">Default 0: proceeds not yet received</t>
  </si>
  <si>
    <t xml:space="preserve">Safaricom net debt FY2026 (KES m)</t>
  </si>
  <si>
    <t xml:space="preserve">KES m</t>
  </si>
  <si>
    <t xml:space="preserve">stockanalysis.com, Safaricom FY2026 balance sheet: total debt 166,766 less cash 26,955; may include leases</t>
  </si>
  <si>
    <t xml:space="preserve">EUR/KES rate</t>
  </si>
  <si>
    <t xml:space="preserve">rate</t>
  </si>
  <si>
    <t xml:space="preserve">Vodafone FY27 guidance FX rate, Q1 FY27 update</t>
  </si>
  <si>
    <t xml:space="preserve">FY27 Adj. EBITDAaL guidance ex-Safaricom: low</t>
  </si>
  <si>
    <t xml:space="preserve">FY26 RNS, 12 May 2026</t>
  </si>
  <si>
    <t xml:space="preserve">FY27 Adj. EBITDAaL guidance ex-Safaricom: high</t>
  </si>
  <si>
    <t xml:space="preserve">Safaricom EBITDAaL, pro forma 12 months</t>
  </si>
  <si>
    <t xml:space="preserve">FY26 RNS (9-month FY27 impact EUR 1.1bn per Q1 update)</t>
  </si>
  <si>
    <t xml:space="preserve">Leverage policy: top of range</t>
  </si>
  <si>
    <t xml:space="preserve">x</t>
  </si>
  <si>
    <t xml:space="preserve">FY26 RNS: 2.25x-2.75x, target lower half</t>
  </si>
  <si>
    <t xml:space="preserve">Leverage policy: bottom of range</t>
  </si>
  <si>
    <t xml:space="preserve">FY26 RNS</t>
  </si>
  <si>
    <t xml:space="preserve">Medium-term cost of debt ambition</t>
  </si>
  <si>
    <t xml:space="preserve">%</t>
  </si>
  <si>
    <t xml:space="preserve">FY26 results presentation, "c.3% cost of debt"</t>
  </si>
  <si>
    <t xml:space="preserve">Bund 10y yield, 15 Oct 2026</t>
  </si>
  <si>
    <t xml:space="preserve">Trading Economics, 15 Oct 2026 (news/528735 page)</t>
  </si>
  <si>
    <t xml:space="preserve">Bund 10y yield, 26 Feb 2026</t>
  </si>
  <si>
    <t xml:space="preserve">Trading Economics, 26 Feb 2026</t>
  </si>
  <si>
    <t xml:space="preserve">New issue concession (bp)</t>
  </si>
  <si>
    <t xml:space="preserve">bp</t>
  </si>
  <si>
    <t xml:space="preserve">IFR: Vodafone's last euro multi-tranche priced tranches flat to fair value and the shortest at -5bp</t>
  </si>
  <si>
    <t xml:space="preserve">Bond maturing: 0.9% Nov 2026 size</t>
  </si>
  <si>
    <t xml:space="preserve">Vodafone bonds outstanding page (EMTN 0.9% 24 Nov 2026, EUR 750m)</t>
  </si>
  <si>
    <t xml:space="preserve">Bond maturing: 0.9% Nov 2026 coupon</t>
  </si>
  <si>
    <t xml:space="preserve">Vodafone bonds outstanding page</t>
  </si>
  <si>
    <t xml:space="preserve">Bond maturing: 1.5% Jul 2027 size</t>
  </si>
  <si>
    <t xml:space="preserve">TradingView XS1652855815, outstanding amount</t>
  </si>
  <si>
    <t xml:space="preserve">Bond maturing: 1.5% Jul 2027 coupon</t>
  </si>
  <si>
    <t xml:space="preserve">TradingView XS1652855815</t>
  </si>
  <si>
    <t xml:space="preserve">Leverage and coverage trends</t>
  </si>
  <si>
    <t xml:space="preserve">Pro forma A: FY26 + VodafoneThree buyout</t>
  </si>
  <si>
    <t xml:space="preserve">Pro forma B: FY27E mid, incl. all deals</t>
  </si>
  <si>
    <t xml:space="preserve">Adj. EBITDAaL</t>
  </si>
  <si>
    <t xml:space="preserve">Net debt</t>
  </si>
  <si>
    <t xml:space="preserve">Net debt / Adj. EBITDAaL</t>
  </si>
  <si>
    <t xml:space="preserve">Gross debt / Adj. EBITDAaL</t>
  </si>
  <si>
    <t xml:space="preserve">Total funding obligations / EBITDAaL before leases</t>
  </si>
  <si>
    <t xml:space="preserve">Underlying net financing costs (ex buyback gains)</t>
  </si>
  <si>
    <t xml:space="preserve">EBITDAaL / underlying net financing costs</t>
  </si>
  <si>
    <t xml:space="preserve">EBITDAaL / net cash interest</t>
  </si>
  <si>
    <t xml:space="preserve">Adj. FCF / net debt</t>
  </si>
  <si>
    <t xml:space="preserve">FCF after dividends and buybacks</t>
  </si>
  <si>
    <t xml:space="preserve">Capital intensity (capex / revenue)</t>
  </si>
  <si>
    <t xml:space="preserve">Adj. EBITDAaL margin (on revenue)</t>
  </si>
  <si>
    <t xml:space="preserve">Liquidity: cash + short-term investments</t>
  </si>
  <si>
    <t xml:space="preserve">Service revenue growth</t>
  </si>
  <si>
    <t xml:space="preserve">Pro forma B holds net debt at the post-deal level and ignores FY27 free cash flow after dividends, which would reduce net debt modestly. It annualises Safaricom EBITDAaL (9 months consolidated in FY27 guidance). Safaricom net debt (KES 139.8bn, about EUR 0.9bn) is included; the VodafoneZiggo proceeds are excluded until received (toggle on Inputs).</t>
  </si>
  <si>
    <t xml:space="preserve">Sensitivity: pro forma net debt / EBITDAaL (x)</t>
  </si>
  <si>
    <t xml:space="preserve">Rows: FY27E EBITDAaL incl. annualised Safaricom (EUR m). Columns: extra net debt on top of the base case (EUR m), e.g. deals or buybacks.</t>
  </si>
  <si>
    <t xml:space="preserve">EBITDAaL case</t>
  </si>
  <si>
    <t xml:space="preserve">EBITDAaL used</t>
  </si>
  <si>
    <t xml:space="preserve">Low guidance</t>
  </si>
  <si>
    <t xml:space="preserve">Mid guidance</t>
  </si>
  <si>
    <t xml:space="preserve">High guidance</t>
  </si>
  <si>
    <t xml:space="preserve">Mid less 5% (stress)</t>
  </si>
  <si>
    <t xml:space="preserve">Headroom vs leverage policy (Pro forma B)</t>
  </si>
  <si>
    <t xml:space="preserve">Threshold</t>
  </si>
  <si>
    <t xml:space="preserve">Net debt capacity (EUR m)</t>
  </si>
  <si>
    <t xml:space="preserve">Headroom (EUR m)</t>
  </si>
  <si>
    <t xml:space="preserve">EBITDAaL fall tolerated</t>
  </si>
  <si>
    <t xml:space="preserve">Policy: bottom of range</t>
  </si>
  <si>
    <t xml:space="preserve">Policy: top of range</t>
  </si>
  <si>
    <t xml:space="preserve">Negative headroom means the case sits above that threshold. Company target is the lower half of 2.25x to 2.75x (below c.2.5x).</t>
  </si>
  <si>
    <t xml:space="preserve">Own curve and peers: euro senior bonds, spread to Bunds</t>
  </si>
  <si>
    <t xml:space="preserve">Prices from Boerse Stuttgart bond pages (yield and "yield spread Bundesanleihe", maturity-matched). Quotes are bid/ask mid-market indications, not trades. Yellow = quote dated 30 Sep, so stale by two weeks.</t>
  </si>
  <si>
    <t xml:space="preserve">As-of date</t>
  </si>
  <si>
    <t xml:space="preserve">Bond</t>
  </si>
  <si>
    <t xml:space="preserve">Maturity</t>
  </si>
  <si>
    <t xml:space="preserve">Years to maturity</t>
  </si>
  <si>
    <t xml:space="preserve">Coupon</t>
  </si>
  <si>
    <t xml:space="preserve">Yield</t>
  </si>
  <si>
    <t xml:space="preserve">Spread to Bund (bp)</t>
  </si>
  <si>
    <t xml:space="preserve">Quote date</t>
  </si>
  <si>
    <t xml:space="preserve">Vodafone own curve</t>
  </si>
  <si>
    <t xml:space="preserve">Vodafone 1.625% Nov 2030</t>
  </si>
  <si>
    <t xml:space="preserve">boerse-stuttgart.de/.../a2r2uh-vodafone-group-plc-eo-medium-term-notes-2019-30</t>
  </si>
  <si>
    <t xml:space="preserve">Vodafone 2.75% Dec 2034</t>
  </si>
  <si>
    <t xml:space="preserve">boerse-stuttgart.de/.../a1zsxb-vodafone-group-plc-eo-med--term-notes-2014-34</t>
  </si>
  <si>
    <t xml:space="preserve">Vodafone 2.875% Nov 2037</t>
  </si>
  <si>
    <t xml:space="preserve">boerse-stuttgart.de/.../a19smk-vodafone-group-plc-eo-medium-term-notes-2017-37</t>
  </si>
  <si>
    <t xml:space="preserve">Vodafone 2.5% May 2039</t>
  </si>
  <si>
    <t xml:space="preserve">boerse-stuttgart.de/.../a2r2uj-vodafone-group-plc-eo-medium-term-notes-2019-39</t>
  </si>
  <si>
    <t xml:space="preserve">Own-curve fair value at 10 years</t>
  </si>
  <si>
    <t xml:space="preserve">Bracket interpolation (Dec 2034 to Nov 2037), bp</t>
  </si>
  <si>
    <t xml:space="preserve">Curve slope across own bonds (bp per year)</t>
  </si>
  <si>
    <t xml:space="preserve">Regression fit at 10 years, 3 longest bonds (bp)</t>
  </si>
  <si>
    <t xml:space="preserve">Interpolation less regression (bp)</t>
  </si>
  <si>
    <t xml:space="preserve">Peers (cross-check only)</t>
  </si>
  <si>
    <t xml:space="preserve">Spread adj. to 10y (bp)</t>
  </si>
  <si>
    <t xml:space="preserve">Deutsche Telekom 2.2% Jul 2033</t>
  </si>
  <si>
    <t xml:space="preserve">boerse-stuttgart.de/.../a193rr-deutsche-telekom-intl-fin-b-v-eo-medium-term-notes-2018-33 (15 Oct)</t>
  </si>
  <si>
    <t xml:space="preserve">Orange 3.25% Jan 2035</t>
  </si>
  <si>
    <t xml:space="preserve">boerse-stuttgart.de/.../a3l3g9-orange-35 (15 Oct)</t>
  </si>
  <si>
    <t xml:space="preserve">Telefonica 3.941% Jun 2035</t>
  </si>
  <si>
    <t xml:space="preserve">boerse-stuttgart.de/.../a4ec6e-telefonica-emisiones-... (16 Oct)</t>
  </si>
  <si>
    <t xml:space="preserve">BT 3.75% Mar 2035</t>
  </si>
  <si>
    <t xml:space="preserve">boerse-stuttgart.de/.../a4eb4m-british-telecommunications-... (30 Sep quote)</t>
  </si>
  <si>
    <t xml:space="preserve">Peer average adjusted to 10 years (bp)</t>
  </si>
  <si>
    <t xml:space="preserve">Peer minimum / maximum (bp)</t>
  </si>
  <si>
    <t xml:space="preserve">Vodafone own curve less peer average (bp)</t>
  </si>
  <si>
    <t xml:space="preserve">Peers are adjusted to 10 years with Vodafone's own curve slope. No rating adjustment is applied: the price rests on Vodafone's own bonds, and the peer set (a BBB+ and a BBB- name among them) only checks that level is sensible.</t>
  </si>
  <si>
    <t xml:space="preserve">Illustrative new issue: Vodafone Group Plc 10-year EUR senior unsecured benchmark</t>
  </si>
  <si>
    <t xml:space="preserve">Priced off Vodafone's own secondary curve; peers and a regression are cross-checks. Quoted as a spread to the 10-year Bund.</t>
  </si>
  <si>
    <t xml:space="preserve">Step</t>
  </si>
  <si>
    <t xml:space="preserve">Notes</t>
  </si>
  <si>
    <t xml:space="preserve">Pricing date</t>
  </si>
  <si>
    <t xml:space="preserve">Hypothetical</t>
  </si>
  <si>
    <t xml:space="preserve">Settlement date</t>
  </si>
  <si>
    <t xml:space="preserve">T+7, typical euro corporate</t>
  </si>
  <si>
    <t xml:space="preserve">Tenor (years)</t>
  </si>
  <si>
    <t xml:space="preserve">Benchmark 10-year</t>
  </si>
  <si>
    <t xml:space="preserve">Size (EUR m)</t>
  </si>
  <si>
    <t xml:space="preserve">Benchmark size</t>
  </si>
  <si>
    <t xml:space="preserve">10-year Bund yield (15 Oct 2026)</t>
  </si>
  <si>
    <t xml:space="preserve">Trading Economics</t>
  </si>
  <si>
    <t xml:space="preserve">1. Own-curve spread at 10 years (bp)</t>
  </si>
  <si>
    <t xml:space="preserve">Interpolated between Vodafone Dec 2034 and Nov 2037 bonds</t>
  </si>
  <si>
    <t xml:space="preserve">2. New issue concession (bp)</t>
  </si>
  <si>
    <t xml:space="preserve">IFR on Vodafone's last euro multi-tranche: flat to fair value, shortest tranche -5bp</t>
  </si>
  <si>
    <t xml:space="preserve">Re-offer spread to Bund (bp)</t>
  </si>
  <si>
    <t xml:space="preserve">Re-offer yield</t>
  </si>
  <si>
    <t xml:space="preserve">10-year Bund plus spread</t>
  </si>
  <si>
    <t xml:space="preserve">Coupon (rounded down to nearest 1/8%)</t>
  </si>
  <si>
    <t xml:space="preserve">Market convention keeps price at or just under par</t>
  </si>
  <si>
    <t xml:space="preserve">Issue price (per 100)</t>
  </si>
  <si>
    <t xml:space="preserve">Annual coupon, ICMA basis</t>
  </si>
  <si>
    <t xml:space="preserve">DV01 (EUR per 1bp, whole deal)</t>
  </si>
  <si>
    <t xml:space="preserve">Price sensitivity for investors</t>
  </si>
  <si>
    <t xml:space="preserve">Cross-checks on the own-curve spread</t>
  </si>
  <si>
    <t xml:space="preserve">Check</t>
  </si>
  <si>
    <t xml:space="preserve">Spread (bp)</t>
  </si>
  <si>
    <t xml:space="preserve">Difference vs own curve (bp)</t>
  </si>
  <si>
    <t xml:space="preserve">Own-curve interpolation</t>
  </si>
  <si>
    <t xml:space="preserve">Regression across three longest own bonds</t>
  </si>
  <si>
    <t xml:space="preserve">Peer average adjusted to 10 years</t>
  </si>
  <si>
    <t xml:space="preserve">Peer range, low</t>
  </si>
  <si>
    <t xml:space="preserve">Peer range, high</t>
  </si>
  <si>
    <t xml:space="preserve">The own curve sits inside the peer average and well within the peer range, so no adjustment to the own-curve level is made. The Dec 2034 point is a 30 Sep quote.</t>
  </si>
  <si>
    <t xml:space="preserve">Refinancing drag: replacing maturing bonds at the new coupon</t>
  </si>
  <si>
    <t xml:space="preserve">Bond maturing</t>
  </si>
  <si>
    <t xml:space="preserve">Old coupon</t>
  </si>
  <si>
    <t xml:space="preserve">New coupon</t>
  </si>
  <si>
    <t xml:space="preserve">Extra annual interest (EUR m)</t>
  </si>
  <si>
    <t xml:space="preserve">0.9% Nov 2026</t>
  </si>
  <si>
    <t xml:space="preserve">1.5% Jul 2027</t>
  </si>
  <si>
    <t xml:space="preserve">Total</t>
  </si>
  <si>
    <t xml:space="preserve">New coupon less c.3% cost-of-debt ambition (bp)</t>
  </si>
  <si>
    <t xml:space="preserve">Price grid at the fixed coupon: price per 100 if the re-offer yield moves. Rows: spread change (bp). Columns: Bund move before pricing (bp).</t>
  </si>
  <si>
    <t xml:space="preserve">Spread change / Bund move</t>
  </si>
  <si>
    <t xml:space="preserve">Calibration: the real Feb 2026 15-year print against today's curve</t>
  </si>
  <si>
    <t xml:space="preserve">Source / note</t>
  </si>
  <si>
    <t xml:space="preserve">Cbonds new-issue notice (EUR 500m due 27 Apr 2041)</t>
  </si>
  <si>
    <t xml:space="preserve">Cbonds</t>
  </si>
  <si>
    <t xml:space="preserve">Reported yield at issue</t>
  </si>
  <si>
    <t xml:space="preserve">Settlement (assumed T+7 from 24 Feb pricing)</t>
  </si>
  <si>
    <t xml:space="preserve">Convention</t>
  </si>
  <si>
    <t xml:space="preserve">Yield recomputed from price</t>
  </si>
  <si>
    <t xml:space="preserve">Difference vs reported (bp)</t>
  </si>
  <si>
    <t xml:space="preserve">A tie within 0.5bp confirms the price and yield mechanics used in DCM_Pricing</t>
  </si>
  <si>
    <t xml:space="preserve">Feb 2026 print over the 10-year Bund (bp)</t>
  </si>
  <si>
    <t xml:space="preserve">Bund 10y 2.70% on 26 Feb 2026</t>
  </si>
  <si>
    <t xml:space="preserve">Today: Vodafone 2.5% May 2039 over the 10-year Bund (bp)</t>
  </si>
  <si>
    <t xml:space="preserve">Closest own bond to a 15-year; 12.6 years left</t>
  </si>
  <si>
    <t xml:space="preserve">Bund 10y move since Feb (bp)</t>
  </si>
  <si>
    <t xml:space="preserve">Actual change in Vodafone long-end yield (bp)</t>
  </si>
  <si>
    <t xml:space="preserve">2039 bond today vs 2041 print</t>
  </si>
  <si>
    <t xml:space="preserve">Maturity roll-down on own curve (bp)</t>
  </si>
  <si>
    <t xml:space="preserve">Own-curve slope x 2.5 years shorter</t>
  </si>
  <si>
    <t xml:space="preserve">Expected change: Bund move plus roll-down (bp)</t>
  </si>
  <si>
    <t xml:space="preserve">Residual: spread change not explained (bp)</t>
  </si>
  <si>
    <t xml:space="preserve">Small residual: the own curve today is consistent with the real Feb print once the Bund move is allowed for</t>
  </si>
  <si>
    <t xml:space="preserve">Modelled new 10-year yield (DCM_Pricing)</t>
  </si>
  <si>
    <t xml:space="preserve">Less Feb 2026 15-year yield (bp)</t>
  </si>
  <si>
    <t xml:space="preserve">Higher mainly because Bunds are up; the shorter tenor offsets part of it</t>
  </si>
  <si>
    <t xml:space="preserve">Market conventions: investment-grade vs high-yield euro senior notes</t>
  </si>
  <si>
    <t xml:space="preserve">General market convention, shown to frame how an IG issuer such as Vodafone differs from a HY issuer. Vodafone-specific facts are sourced in the notes column.</t>
  </si>
  <si>
    <t xml:space="preserve">Term</t>
  </si>
  <si>
    <t xml:space="preserve">Investment grade</t>
  </si>
  <si>
    <t xml:space="preserve">High yield</t>
  </si>
  <si>
    <t xml:space="preserve">Vodafone fact and source</t>
  </si>
  <si>
    <t xml:space="preserve">Issuer / ranking</t>
  </si>
  <si>
    <t xml:space="preserve">Parent-level senior unsecured</t>
  </si>
  <si>
    <t xml:space="preserve">Often holdco or opco with guarantees; secured or unsecured</t>
  </si>
  <si>
    <t xml:space="preserve">Vodafone Group Plc and Vodafone International Financing DAC issue under one EMTN programme (vodafone.com bonds outstanding)</t>
  </si>
  <si>
    <t xml:space="preserve">Programme size</t>
  </si>
  <si>
    <t xml:space="preserve">EMTN programme</t>
  </si>
  <si>
    <t xml:space="preserve">Standalone indenture</t>
  </si>
  <si>
    <t xml:space="preserve">EUR 30bn EMTN programme (vodafone.com bonds outstanding)</t>
  </si>
  <si>
    <t xml:space="preserve">Coupon basis</t>
  </si>
  <si>
    <t xml:space="preserve">Fixed, annual, ICMA Act/Act</t>
  </si>
  <si>
    <t xml:space="preserve">Fixed or FRN, semi-annual common</t>
  </si>
  <si>
    <t xml:space="preserve">Annual coupons on the EUR bonds in Comps</t>
  </si>
  <si>
    <t xml:space="preserve">Call features</t>
  </si>
  <si>
    <t xml:space="preserve">Make-whole call, short par call before maturity, tax call</t>
  </si>
  <si>
    <t xml:space="preserve">Non-call period then stepped call prices</t>
  </si>
  <si>
    <t xml:space="preserve">Not reviewed for Vodafone</t>
  </si>
  <si>
    <t xml:space="preserve">Financial covenants</t>
  </si>
  <si>
    <t xml:space="preserve">None maintained</t>
  </si>
  <si>
    <t xml:space="preserve">Incurrence tests: fixed charge cover, leverage, restricted payments</t>
  </si>
  <si>
    <t xml:space="preserve">Discipline is by policy: net debt / EBITDAaL 2.25x to 2.75x, lower half targeted (FY26 results)</t>
  </si>
  <si>
    <t xml:space="preserve">Negative covenants</t>
  </si>
  <si>
    <t xml:space="preserve">Limited protections</t>
  </si>
  <si>
    <t xml:space="preserve">Extensive package: debt, liens, asset sales, dividends</t>
  </si>
  <si>
    <t xml:space="preserve">Events of default</t>
  </si>
  <si>
    <t xml:space="preserve">Non-payment, breach, cross-default, insolvency</t>
  </si>
  <si>
    <t xml:space="preserve">Same plus covenant breach</t>
  </si>
  <si>
    <t xml:space="preserve">Pricing basis</t>
  </si>
  <si>
    <t xml:space="preserve">Spread over mid-swaps (EUR), Gilts (GBP), Treasuries (USD)</t>
  </si>
  <si>
    <t xml:space="preserve">Yield or spread to benchmark</t>
  </si>
  <si>
    <t xml:space="preserve">Vodafone marketed its last euro multi-tranche over mid-swaps (IFR)</t>
  </si>
</sst>
</file>

<file path=xl/styles.xml><?xml version="1.0" encoding="utf-8"?>
<styleSheet xmlns="http://schemas.openxmlformats.org/spreadsheetml/2006/main">
  <numFmts count="11">
    <numFmt numFmtId="164" formatCode="General"/>
    <numFmt numFmtId="165" formatCode="#,##0;\(#,##0\);\-"/>
    <numFmt numFmtId="166" formatCode="0.0"/>
    <numFmt numFmtId="167" formatCode="0.00\x"/>
    <numFmt numFmtId="168" formatCode="0.000%"/>
    <numFmt numFmtId="169" formatCode="0.0%"/>
    <numFmt numFmtId="170" formatCode="dd\-mmm\-yyyy"/>
    <numFmt numFmtId="171" formatCode="0.00"/>
    <numFmt numFmtId="172" formatCode="0"/>
    <numFmt numFmtId="173" formatCode="0.000"/>
    <numFmt numFmtId="174"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color rgb="FF555555"/>
      <name val="Arial"/>
      <family val="0"/>
      <charset val="1"/>
    </font>
    <font>
      <sz val="10"/>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0"/>
  </cols>
  <sheetData>
    <row r="1" customFormat="false" ht="17.35" hidden="false" customHeight="false" outlineLevel="0" collapsed="false">
      <c r="A1" s="1" t="s">
        <v>0</v>
      </c>
    </row>
    <row r="3" customFormat="false" ht="43.5" hidden="false" customHeight="true" outlineLevel="0" collapsed="false">
      <c r="A3" s="2" t="s">
        <v>1</v>
      </c>
      <c r="B3" s="3" t="s">
        <v>2</v>
      </c>
    </row>
    <row r="4" customFormat="false" ht="43.5" hidden="false" customHeight="true" outlineLevel="0" collapsed="false">
      <c r="A4" s="2" t="s">
        <v>3</v>
      </c>
      <c r="B4" s="3" t="s">
        <v>4</v>
      </c>
    </row>
    <row r="5" customFormat="false" ht="43.5" hidden="false" customHeight="true" outlineLevel="0" collapsed="false">
      <c r="A5" s="2" t="s">
        <v>5</v>
      </c>
      <c r="B5" s="3" t="s">
        <v>6</v>
      </c>
    </row>
    <row r="6" customFormat="false" ht="43.5" hidden="false" customHeight="true" outlineLevel="0" collapsed="false">
      <c r="A6" s="2" t="s">
        <v>7</v>
      </c>
      <c r="B6" s="3" t="s">
        <v>8</v>
      </c>
    </row>
    <row r="7" customFormat="false" ht="43.5" hidden="false" customHeight="true" outlineLevel="0" collapsed="false">
      <c r="A7" s="2" t="s">
        <v>9</v>
      </c>
      <c r="B7" s="3" t="s">
        <v>10</v>
      </c>
    </row>
    <row r="8" customFormat="false" ht="43.5" hidden="false" customHeight="true" outlineLevel="0" collapsed="false">
      <c r="A8" s="2" t="s">
        <v>11</v>
      </c>
      <c r="B8"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2"/>
    <col collapsed="false" customWidth="true" hidden="false" outlineLevel="0" max="4" min="4" style="0" width="9"/>
    <col collapsed="false" customWidth="true" hidden="false" outlineLevel="0" max="5" min="5" style="0" width="80"/>
  </cols>
  <sheetData>
    <row r="1" customFormat="false" ht="17.35" hidden="false" customHeight="false" outlineLevel="0" collapsed="false">
      <c r="A1" s="1" t="s">
        <v>13</v>
      </c>
    </row>
    <row r="3" customFormat="false" ht="15" hidden="false" customHeight="false" outlineLevel="0" collapsed="false">
      <c r="A3" s="4" t="s">
        <v>14</v>
      </c>
      <c r="B3" s="4" t="s">
        <v>15</v>
      </c>
      <c r="C3" s="4" t="s">
        <v>16</v>
      </c>
      <c r="D3" s="4" t="s">
        <v>17</v>
      </c>
      <c r="E3" s="4" t="s">
        <v>18</v>
      </c>
    </row>
    <row r="4" customFormat="false" ht="15" hidden="false" customHeight="false" outlineLevel="0" collapsed="false">
      <c r="A4" s="5" t="s">
        <v>19</v>
      </c>
      <c r="B4" s="6" t="n">
        <v>37448</v>
      </c>
      <c r="C4" s="6" t="n">
        <v>40461</v>
      </c>
      <c r="D4" s="5" t="s">
        <v>20</v>
      </c>
      <c r="E4" s="7" t="s">
        <v>21</v>
      </c>
    </row>
    <row r="5" customFormat="false" ht="15" hidden="false" customHeight="false" outlineLevel="0" collapsed="false">
      <c r="A5" s="5" t="s">
        <v>22</v>
      </c>
      <c r="B5" s="6" t="n">
        <v>30758</v>
      </c>
      <c r="C5" s="6" t="n">
        <v>33480</v>
      </c>
      <c r="D5" s="5" t="s">
        <v>20</v>
      </c>
      <c r="E5" s="7" t="s">
        <v>21</v>
      </c>
    </row>
    <row r="6" customFormat="false" ht="15" hidden="false" customHeight="false" outlineLevel="0" collapsed="false">
      <c r="A6" s="5" t="s">
        <v>23</v>
      </c>
      <c r="B6" s="6" t="n">
        <v>10932</v>
      </c>
      <c r="C6" s="6" t="n">
        <v>11351</v>
      </c>
      <c r="D6" s="5" t="s">
        <v>20</v>
      </c>
      <c r="E6" s="7" t="s">
        <v>21</v>
      </c>
    </row>
    <row r="7" customFormat="false" ht="15" hidden="false" customHeight="false" outlineLevel="0" collapsed="false">
      <c r="A7" s="5" t="s">
        <v>24</v>
      </c>
      <c r="B7" s="6" t="n">
        <v>6862</v>
      </c>
      <c r="C7" s="6" t="n">
        <v>7291</v>
      </c>
      <c r="D7" s="5" t="s">
        <v>20</v>
      </c>
      <c r="E7" s="7" t="s">
        <v>21</v>
      </c>
    </row>
    <row r="8" customFormat="false" ht="15" hidden="false" customHeight="false" outlineLevel="0" collapsed="false">
      <c r="A8" s="5" t="s">
        <v>25</v>
      </c>
      <c r="B8" s="6" t="n">
        <v>2548</v>
      </c>
      <c r="C8" s="6" t="n">
        <v>2621</v>
      </c>
      <c r="D8" s="5" t="s">
        <v>20</v>
      </c>
      <c r="E8" s="7" t="s">
        <v>21</v>
      </c>
    </row>
    <row r="9" customFormat="false" ht="15" hidden="false" customHeight="false" outlineLevel="0" collapsed="false">
      <c r="A9" s="5" t="s">
        <v>26</v>
      </c>
      <c r="B9" s="6" t="n">
        <v>1850</v>
      </c>
      <c r="C9" s="6" t="n">
        <v>1795</v>
      </c>
      <c r="D9" s="5" t="s">
        <v>20</v>
      </c>
      <c r="E9" s="7" t="s">
        <v>21</v>
      </c>
    </row>
    <row r="10" customFormat="false" ht="15" hidden="false" customHeight="false" outlineLevel="0" collapsed="false">
      <c r="A10" s="5" t="s">
        <v>27</v>
      </c>
      <c r="B10" s="6" t="n">
        <v>1787</v>
      </c>
      <c r="C10" s="6" t="n">
        <v>1093</v>
      </c>
      <c r="D10" s="5" t="s">
        <v>20</v>
      </c>
      <c r="E10" s="7" t="s">
        <v>21</v>
      </c>
    </row>
    <row r="11" customFormat="false" ht="15" hidden="false" customHeight="false" outlineLevel="0" collapsed="false">
      <c r="A11" s="5" t="s">
        <v>28</v>
      </c>
      <c r="B11" s="6" t="n">
        <v>1868</v>
      </c>
      <c r="C11" s="6" t="n">
        <v>2041</v>
      </c>
      <c r="D11" s="5" t="s">
        <v>20</v>
      </c>
      <c r="E11" s="7" t="s">
        <v>21</v>
      </c>
    </row>
    <row r="12" customFormat="false" ht="15" hidden="false" customHeight="false" outlineLevel="0" collapsed="false">
      <c r="A12" s="5" t="s">
        <v>29</v>
      </c>
      <c r="B12" s="6" t="n">
        <v>22397</v>
      </c>
      <c r="C12" s="6" t="n">
        <v>25411</v>
      </c>
      <c r="D12" s="5" t="s">
        <v>20</v>
      </c>
      <c r="E12" s="7" t="s">
        <v>21</v>
      </c>
    </row>
    <row r="13" customFormat="false" ht="15" hidden="false" customHeight="false" outlineLevel="0" collapsed="false">
      <c r="A13" s="5" t="s">
        <v>30</v>
      </c>
      <c r="B13" s="6" t="n">
        <v>39960</v>
      </c>
      <c r="C13" s="6" t="n">
        <v>38604</v>
      </c>
      <c r="D13" s="5" t="s">
        <v>20</v>
      </c>
      <c r="E13" s="7" t="s">
        <v>21</v>
      </c>
    </row>
    <row r="14" customFormat="false" ht="15" hidden="false" customHeight="false" outlineLevel="0" collapsed="false">
      <c r="A14" s="5" t="s">
        <v>31</v>
      </c>
      <c r="B14" s="6" t="n">
        <v>36402</v>
      </c>
      <c r="C14" s="6" t="n">
        <v>33828</v>
      </c>
      <c r="D14" s="5" t="s">
        <v>20</v>
      </c>
      <c r="E14" s="7" t="s">
        <v>21</v>
      </c>
    </row>
    <row r="15" customFormat="false" ht="15" hidden="false" customHeight="false" outlineLevel="0" collapsed="false">
      <c r="A15" s="5" t="s">
        <v>32</v>
      </c>
      <c r="B15" s="6" t="n">
        <v>11001</v>
      </c>
      <c r="C15" s="6" t="n">
        <v>8982</v>
      </c>
      <c r="D15" s="5" t="s">
        <v>20</v>
      </c>
      <c r="E15" s="7" t="s">
        <v>21</v>
      </c>
    </row>
    <row r="16" customFormat="false" ht="15" hidden="false" customHeight="false" outlineLevel="0" collapsed="false">
      <c r="A16" s="5" t="s">
        <v>33</v>
      </c>
      <c r="B16" s="6" t="n">
        <v>5280</v>
      </c>
      <c r="C16" s="6" t="n">
        <v>3431</v>
      </c>
      <c r="D16" s="5" t="s">
        <v>20</v>
      </c>
      <c r="E16" s="7" t="s">
        <v>21</v>
      </c>
    </row>
    <row r="17" customFormat="false" ht="15" hidden="false" customHeight="false" outlineLevel="0" collapsed="false">
      <c r="A17" s="5" t="s">
        <v>34</v>
      </c>
      <c r="B17" s="6" t="n">
        <v>10826</v>
      </c>
      <c r="C17" s="6" t="n">
        <v>12388</v>
      </c>
      <c r="D17" s="5" t="s">
        <v>20</v>
      </c>
      <c r="E17" s="7" t="s">
        <v>21</v>
      </c>
    </row>
    <row r="18" customFormat="false" ht="15" hidden="false" customHeight="false" outlineLevel="0" collapsed="false">
      <c r="A18" s="5" t="s">
        <v>35</v>
      </c>
      <c r="B18" s="6" t="n">
        <v>4081</v>
      </c>
      <c r="C18" s="6" t="n">
        <v>3797</v>
      </c>
      <c r="D18" s="5" t="s">
        <v>20</v>
      </c>
      <c r="E18" s="7" t="s">
        <v>21</v>
      </c>
    </row>
    <row r="19" customFormat="false" ht="15" hidden="false" customHeight="false" outlineLevel="0" collapsed="false">
      <c r="A19" s="5" t="s">
        <v>36</v>
      </c>
      <c r="B19" s="6" t="n">
        <v>30808</v>
      </c>
      <c r="C19" s="6" t="n">
        <v>35239</v>
      </c>
      <c r="D19" s="5" t="s">
        <v>20</v>
      </c>
      <c r="E19" s="7" t="s">
        <v>37</v>
      </c>
    </row>
    <row r="20" customFormat="false" ht="15" hidden="false" customHeight="false" outlineLevel="0" collapsed="false">
      <c r="A20" s="5" t="s">
        <v>38</v>
      </c>
      <c r="B20" s="6" t="n">
        <v>14625</v>
      </c>
      <c r="C20" s="6" t="n">
        <v>15640</v>
      </c>
      <c r="D20" s="5" t="s">
        <v>20</v>
      </c>
      <c r="E20" s="7" t="s">
        <v>39</v>
      </c>
    </row>
    <row r="21" customFormat="false" ht="15" hidden="false" customHeight="false" outlineLevel="0" collapsed="false">
      <c r="A21" s="5" t="s">
        <v>40</v>
      </c>
      <c r="B21" s="6" t="n">
        <v>1315</v>
      </c>
      <c r="C21" s="6" t="n">
        <v>819</v>
      </c>
      <c r="D21" s="5" t="s">
        <v>20</v>
      </c>
      <c r="E21" s="7" t="s">
        <v>21</v>
      </c>
    </row>
    <row r="22" customFormat="false" ht="15" hidden="false" customHeight="false" outlineLevel="0" collapsed="false">
      <c r="A22" s="5" t="s">
        <v>41</v>
      </c>
      <c r="B22" s="6" t="n">
        <v>253</v>
      </c>
      <c r="C22" s="6" t="n">
        <v>771</v>
      </c>
      <c r="D22" s="5" t="s">
        <v>20</v>
      </c>
      <c r="E22" s="7" t="s">
        <v>21</v>
      </c>
    </row>
    <row r="23" customFormat="false" ht="15" hidden="false" customHeight="false" outlineLevel="0" collapsed="false">
      <c r="A23" s="5" t="s">
        <v>42</v>
      </c>
      <c r="B23" s="6" t="n">
        <v>1147</v>
      </c>
      <c r="C23" s="6" t="n">
        <v>1119</v>
      </c>
      <c r="D23" s="5" t="s">
        <v>20</v>
      </c>
      <c r="E23" s="7" t="s">
        <v>21</v>
      </c>
    </row>
    <row r="24" customFormat="false" ht="15" hidden="false" customHeight="false" outlineLevel="0" collapsed="false">
      <c r="A24" s="5" t="s">
        <v>43</v>
      </c>
      <c r="B24" s="6" t="n">
        <v>1479</v>
      </c>
      <c r="C24" s="6" t="n">
        <v>1031</v>
      </c>
      <c r="D24" s="5" t="s">
        <v>20</v>
      </c>
      <c r="E24" s="7" t="s">
        <v>21</v>
      </c>
    </row>
    <row r="26" customFormat="false" ht="15" hidden="false" customHeight="false" outlineLevel="0" collapsed="false">
      <c r="A26" s="2" t="s">
        <v>44</v>
      </c>
    </row>
    <row r="27" customFormat="false" ht="15" hidden="false" customHeight="false" outlineLevel="0" collapsed="false">
      <c r="A27" s="4" t="s">
        <v>14</v>
      </c>
      <c r="B27" s="4"/>
      <c r="C27" s="4" t="s">
        <v>45</v>
      </c>
      <c r="D27" s="4" t="s">
        <v>17</v>
      </c>
      <c r="E27" s="4" t="s">
        <v>18</v>
      </c>
    </row>
    <row r="28" customFormat="false" ht="15" hidden="false" customHeight="false" outlineLevel="0" collapsed="false">
      <c r="A28" s="5" t="s">
        <v>46</v>
      </c>
      <c r="C28" s="6" t="n">
        <v>4900</v>
      </c>
      <c r="D28" s="5" t="s">
        <v>20</v>
      </c>
      <c r="E28" s="7" t="s">
        <v>47</v>
      </c>
    </row>
    <row r="29" customFormat="false" ht="15" hidden="false" customHeight="false" outlineLevel="0" collapsed="false">
      <c r="A29" s="5" t="s">
        <v>48</v>
      </c>
      <c r="C29" s="6" t="n">
        <v>1360</v>
      </c>
      <c r="D29" s="5" t="s">
        <v>20</v>
      </c>
      <c r="E29" s="7" t="s">
        <v>49</v>
      </c>
    </row>
    <row r="30" customFormat="false" ht="15" hidden="false" customHeight="false" outlineLevel="0" collapsed="false">
      <c r="A30" s="5" t="s">
        <v>50</v>
      </c>
      <c r="C30" s="6" t="n">
        <v>1000</v>
      </c>
      <c r="D30" s="5" t="s">
        <v>20</v>
      </c>
      <c r="E30" s="7" t="s">
        <v>51</v>
      </c>
    </row>
    <row r="31" customFormat="false" ht="15" hidden="false" customHeight="false" outlineLevel="0" collapsed="false">
      <c r="A31" s="5" t="s">
        <v>52</v>
      </c>
      <c r="C31" s="8" t="n">
        <v>0</v>
      </c>
      <c r="D31" s="5" t="s">
        <v>53</v>
      </c>
      <c r="E31" s="7" t="s">
        <v>54</v>
      </c>
    </row>
    <row r="32" customFormat="false" ht="15" hidden="false" customHeight="false" outlineLevel="0" collapsed="false">
      <c r="A32" s="5" t="s">
        <v>55</v>
      </c>
      <c r="C32" s="8" t="n">
        <v>139810</v>
      </c>
      <c r="D32" s="5" t="s">
        <v>56</v>
      </c>
      <c r="E32" s="7" t="s">
        <v>57</v>
      </c>
    </row>
    <row r="33" customFormat="false" ht="15" hidden="false" customHeight="false" outlineLevel="0" collapsed="false">
      <c r="A33" s="5" t="s">
        <v>58</v>
      </c>
      <c r="C33" s="9" t="n">
        <v>159.66</v>
      </c>
      <c r="D33" s="5" t="s">
        <v>59</v>
      </c>
      <c r="E33" s="7" t="s">
        <v>60</v>
      </c>
    </row>
    <row r="34" customFormat="false" ht="15" hidden="false" customHeight="false" outlineLevel="0" collapsed="false">
      <c r="A34" s="5" t="s">
        <v>61</v>
      </c>
      <c r="C34" s="6" t="n">
        <v>11900</v>
      </c>
      <c r="D34" s="5" t="s">
        <v>20</v>
      </c>
      <c r="E34" s="7" t="s">
        <v>62</v>
      </c>
    </row>
    <row r="35" customFormat="false" ht="15" hidden="false" customHeight="false" outlineLevel="0" collapsed="false">
      <c r="A35" s="5" t="s">
        <v>63</v>
      </c>
      <c r="C35" s="6" t="n">
        <v>12200</v>
      </c>
      <c r="D35" s="5" t="s">
        <v>20</v>
      </c>
      <c r="E35" s="7" t="s">
        <v>62</v>
      </c>
    </row>
    <row r="36" customFormat="false" ht="15" hidden="false" customHeight="false" outlineLevel="0" collapsed="false">
      <c r="A36" s="5" t="s">
        <v>64</v>
      </c>
      <c r="C36" s="6" t="n">
        <v>1500</v>
      </c>
      <c r="D36" s="5" t="s">
        <v>20</v>
      </c>
      <c r="E36" s="7" t="s">
        <v>65</v>
      </c>
    </row>
    <row r="37" customFormat="false" ht="15" hidden="false" customHeight="false" outlineLevel="0" collapsed="false">
      <c r="A37" s="5" t="s">
        <v>66</v>
      </c>
      <c r="C37" s="10" t="n">
        <v>2.75</v>
      </c>
      <c r="D37" s="5" t="s">
        <v>67</v>
      </c>
      <c r="E37" s="7" t="s">
        <v>68</v>
      </c>
    </row>
    <row r="38" customFormat="false" ht="15" hidden="false" customHeight="false" outlineLevel="0" collapsed="false">
      <c r="A38" s="5" t="s">
        <v>69</v>
      </c>
      <c r="C38" s="10" t="n">
        <v>2.25</v>
      </c>
      <c r="D38" s="5" t="s">
        <v>67</v>
      </c>
      <c r="E38" s="7" t="s">
        <v>70</v>
      </c>
    </row>
    <row r="39" customFormat="false" ht="15" hidden="false" customHeight="false" outlineLevel="0" collapsed="false">
      <c r="A39" s="5" t="s">
        <v>71</v>
      </c>
      <c r="C39" s="11" t="n">
        <v>0.03</v>
      </c>
      <c r="D39" s="5" t="s">
        <v>72</v>
      </c>
      <c r="E39" s="7" t="s">
        <v>73</v>
      </c>
    </row>
    <row r="40" customFormat="false" ht="15" hidden="false" customHeight="false" outlineLevel="0" collapsed="false">
      <c r="A40" s="5" t="s">
        <v>74</v>
      </c>
      <c r="C40" s="11" t="n">
        <v>0.0338</v>
      </c>
      <c r="D40" s="5" t="s">
        <v>72</v>
      </c>
      <c r="E40" s="7" t="s">
        <v>75</v>
      </c>
    </row>
    <row r="41" customFormat="false" ht="15" hidden="false" customHeight="false" outlineLevel="0" collapsed="false">
      <c r="A41" s="5" t="s">
        <v>76</v>
      </c>
      <c r="C41" s="11" t="n">
        <v>0.027</v>
      </c>
      <c r="D41" s="5" t="s">
        <v>72</v>
      </c>
      <c r="E41" s="7" t="s">
        <v>77</v>
      </c>
    </row>
    <row r="42" customFormat="false" ht="15" hidden="false" customHeight="false" outlineLevel="0" collapsed="false">
      <c r="A42" s="5" t="s">
        <v>78</v>
      </c>
      <c r="C42" s="9" t="n">
        <v>0</v>
      </c>
      <c r="D42" s="5" t="s">
        <v>79</v>
      </c>
      <c r="E42" s="7" t="s">
        <v>80</v>
      </c>
    </row>
    <row r="43" customFormat="false" ht="15" hidden="false" customHeight="false" outlineLevel="0" collapsed="false">
      <c r="A43" s="5" t="s">
        <v>81</v>
      </c>
      <c r="C43" s="6" t="n">
        <v>750</v>
      </c>
      <c r="D43" s="5" t="s">
        <v>20</v>
      </c>
      <c r="E43" s="7" t="s">
        <v>82</v>
      </c>
    </row>
    <row r="44" customFormat="false" ht="15" hidden="false" customHeight="false" outlineLevel="0" collapsed="false">
      <c r="A44" s="5" t="s">
        <v>83</v>
      </c>
      <c r="C44" s="11" t="n">
        <v>0.009</v>
      </c>
      <c r="D44" s="5" t="s">
        <v>72</v>
      </c>
      <c r="E44" s="7" t="s">
        <v>84</v>
      </c>
    </row>
    <row r="45" customFormat="false" ht="15" hidden="false" customHeight="false" outlineLevel="0" collapsed="false">
      <c r="A45" s="5" t="s">
        <v>85</v>
      </c>
      <c r="C45" s="6" t="n">
        <v>357.31</v>
      </c>
      <c r="D45" s="5" t="s">
        <v>20</v>
      </c>
      <c r="E45" s="7" t="s">
        <v>86</v>
      </c>
    </row>
    <row r="46" customFormat="false" ht="15" hidden="false" customHeight="false" outlineLevel="0" collapsed="false">
      <c r="A46" s="5" t="s">
        <v>87</v>
      </c>
      <c r="C46" s="11" t="n">
        <v>0.015</v>
      </c>
      <c r="D46" s="5" t="s">
        <v>72</v>
      </c>
      <c r="E46" s="7"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9"/>
  </cols>
  <sheetData>
    <row r="1" customFormat="false" ht="17.35" hidden="false" customHeight="false" outlineLevel="0" collapsed="false">
      <c r="A1" s="1" t="s">
        <v>89</v>
      </c>
    </row>
    <row r="3" customFormat="false" ht="45" hidden="false" customHeight="true" outlineLevel="0" collapsed="false">
      <c r="A3" s="4" t="s">
        <v>20</v>
      </c>
      <c r="B3" s="4" t="s">
        <v>15</v>
      </c>
      <c r="C3" s="4" t="s">
        <v>16</v>
      </c>
      <c r="D3" s="4" t="s">
        <v>90</v>
      </c>
      <c r="E3" s="4" t="s">
        <v>91</v>
      </c>
    </row>
    <row r="4" customFormat="false" ht="15" hidden="false" customHeight="false" outlineLevel="0" collapsed="false">
      <c r="A4" s="5" t="s">
        <v>92</v>
      </c>
      <c r="B4" s="12" t="n">
        <f aca="false">Inputs!$B$6</f>
        <v>10932</v>
      </c>
      <c r="C4" s="12" t="n">
        <f aca="false">Inputs!$C$6</f>
        <v>11351</v>
      </c>
      <c r="D4" s="13" t="n">
        <f aca="false">C4</f>
        <v>11351</v>
      </c>
      <c r="E4" s="12" t="n">
        <f aca="false">AVERAGE(Inputs!$C$34,Inputs!$C$35)+Inputs!$C$36</f>
        <v>13550</v>
      </c>
    </row>
    <row r="5" customFormat="false" ht="15" hidden="false" customHeight="false" outlineLevel="0" collapsed="false">
      <c r="A5" s="5" t="s">
        <v>93</v>
      </c>
      <c r="B5" s="12" t="n">
        <f aca="false">Inputs!$B$12</f>
        <v>22397</v>
      </c>
      <c r="C5" s="12" t="n">
        <f aca="false">Inputs!$C$12</f>
        <v>25411</v>
      </c>
      <c r="D5" s="12" t="n">
        <f aca="false">C5+Inputs!$C$28</f>
        <v>30311</v>
      </c>
      <c r="E5" s="12" t="n">
        <f aca="false">D5+Inputs!$C$29-Inputs!$C$30*Inputs!$C$31+Inputs!$C$32/Inputs!$C$33</f>
        <v>32546.6733057748</v>
      </c>
    </row>
    <row r="6" customFormat="false" ht="15" hidden="false" customHeight="false" outlineLevel="0" collapsed="false">
      <c r="A6" s="2" t="s">
        <v>94</v>
      </c>
      <c r="B6" s="14" t="n">
        <f aca="false">B5/B4</f>
        <v>2.04875594584705</v>
      </c>
      <c r="C6" s="14" t="n">
        <f aca="false">C5/C4</f>
        <v>2.23865738701436</v>
      </c>
      <c r="D6" s="14" t="n">
        <f aca="false">D5/D4</f>
        <v>2.67033741520571</v>
      </c>
      <c r="E6" s="14" t="n">
        <f aca="false">E5/E4</f>
        <v>2.40196850965127</v>
      </c>
    </row>
    <row r="7" customFormat="false" ht="15" hidden="false" customHeight="false" outlineLevel="0" collapsed="false">
      <c r="A7" s="5" t="s">
        <v>30</v>
      </c>
      <c r="B7" s="12" t="n">
        <f aca="false">Inputs!$B$13</f>
        <v>39960</v>
      </c>
      <c r="C7" s="12" t="n">
        <f aca="false">Inputs!$C$13</f>
        <v>38604</v>
      </c>
    </row>
    <row r="8" customFormat="false" ht="15" hidden="false" customHeight="false" outlineLevel="0" collapsed="false">
      <c r="A8" s="5" t="s">
        <v>95</v>
      </c>
      <c r="B8" s="15" t="n">
        <f aca="false">B7/B4</f>
        <v>3.65532381997805</v>
      </c>
      <c r="C8" s="15" t="n">
        <f aca="false">C7/C4</f>
        <v>3.40093383842833</v>
      </c>
    </row>
    <row r="9" customFormat="false" ht="15" hidden="false" customHeight="false" outlineLevel="0" collapsed="false">
      <c r="A9" s="5" t="s">
        <v>96</v>
      </c>
      <c r="B9" s="16" t="n">
        <f aca="false">Inputs!$B$19/Inputs!$B$20</f>
        <v>2.10652991452991</v>
      </c>
      <c r="C9" s="16" t="n">
        <f aca="false">Inputs!$C$19/Inputs!$C$20</f>
        <v>2.25313299232737</v>
      </c>
    </row>
    <row r="10" customFormat="false" ht="15" hidden="false" customHeight="false" outlineLevel="0" collapsed="false">
      <c r="A10" s="5" t="s">
        <v>97</v>
      </c>
      <c r="B10" s="12" t="n">
        <f aca="false">Inputs!$B$21+Inputs!$B$22</f>
        <v>1568</v>
      </c>
      <c r="C10" s="12" t="n">
        <f aca="false">Inputs!$C$21+Inputs!$C$22</f>
        <v>1590</v>
      </c>
    </row>
    <row r="11" customFormat="false" ht="15" hidden="false" customHeight="false" outlineLevel="0" collapsed="false">
      <c r="A11" s="5" t="s">
        <v>98</v>
      </c>
      <c r="B11" s="15" t="n">
        <f aca="false">B4/B10</f>
        <v>6.9719387755102</v>
      </c>
      <c r="C11" s="15" t="n">
        <f aca="false">C4/C10</f>
        <v>7.13899371069182</v>
      </c>
    </row>
    <row r="12" customFormat="false" ht="15" hidden="false" customHeight="false" outlineLevel="0" collapsed="false">
      <c r="A12" s="5" t="s">
        <v>99</v>
      </c>
      <c r="B12" s="16" t="n">
        <f aca="false">B4/Inputs!$B$23</f>
        <v>9.53095030514385</v>
      </c>
      <c r="C12" s="16" t="n">
        <f aca="false">C4/Inputs!$C$23</f>
        <v>10.1438784629133</v>
      </c>
    </row>
    <row r="13" customFormat="false" ht="15" hidden="false" customHeight="false" outlineLevel="0" collapsed="false">
      <c r="A13" s="5" t="s">
        <v>100</v>
      </c>
      <c r="B13" s="17" t="n">
        <f aca="false">Inputs!$B$8/B5</f>
        <v>0.113765236415591</v>
      </c>
      <c r="C13" s="17" t="n">
        <f aca="false">Inputs!$C$8/C5</f>
        <v>0.10314430758333</v>
      </c>
    </row>
    <row r="14" customFormat="false" ht="15" hidden="false" customHeight="false" outlineLevel="0" collapsed="false">
      <c r="A14" s="5" t="s">
        <v>101</v>
      </c>
      <c r="B14" s="12" t="n">
        <f aca="false">Inputs!$B$9-Inputs!$B$10-Inputs!$B$11</f>
        <v>-1805</v>
      </c>
      <c r="C14" s="12" t="n">
        <f aca="false">Inputs!$C$9-Inputs!$C$10-Inputs!$C$11</f>
        <v>-1339</v>
      </c>
    </row>
    <row r="15" customFormat="false" ht="15" hidden="false" customHeight="false" outlineLevel="0" collapsed="false">
      <c r="A15" s="5" t="s">
        <v>102</v>
      </c>
      <c r="B15" s="17" t="n">
        <f aca="false">Inputs!$B$7/Inputs!$B$4</f>
        <v>0.183240760521256</v>
      </c>
      <c r="C15" s="17" t="n">
        <f aca="false">Inputs!$C$7/Inputs!$C$4</f>
        <v>0.180198215565606</v>
      </c>
    </row>
    <row r="16" customFormat="false" ht="15" hidden="false" customHeight="false" outlineLevel="0" collapsed="false">
      <c r="A16" s="5" t="s">
        <v>103</v>
      </c>
      <c r="B16" s="17" t="n">
        <f aca="false">B4/Inputs!$B$4</f>
        <v>0.291924802392651</v>
      </c>
      <c r="C16" s="17" t="n">
        <f aca="false">C4/Inputs!$C$4</f>
        <v>0.280541756259114</v>
      </c>
    </row>
    <row r="17" customFormat="false" ht="15" hidden="false" customHeight="false" outlineLevel="0" collapsed="false">
      <c r="A17" s="5" t="s">
        <v>104</v>
      </c>
      <c r="B17" s="12" t="n">
        <f aca="false">Inputs!$B$15+Inputs!$B$16</f>
        <v>16281</v>
      </c>
      <c r="C17" s="12" t="n">
        <f aca="false">Inputs!$C$15+Inputs!$C$16</f>
        <v>12413</v>
      </c>
    </row>
    <row r="18" customFormat="false" ht="15" hidden="false" customHeight="false" outlineLevel="0" collapsed="false">
      <c r="A18" s="5" t="s">
        <v>19</v>
      </c>
      <c r="B18" s="12" t="n">
        <f aca="false">Inputs!$B$4</f>
        <v>37448</v>
      </c>
      <c r="C18" s="12" t="n">
        <f aca="false">Inputs!$C$4</f>
        <v>40461</v>
      </c>
    </row>
    <row r="19" customFormat="false" ht="15" hidden="false" customHeight="false" outlineLevel="0" collapsed="false">
      <c r="A19" s="5" t="s">
        <v>105</v>
      </c>
      <c r="C19" s="17" t="n">
        <f aca="false">Inputs!$C$5/Inputs!$B$5-1</f>
        <v>0.088497301515053</v>
      </c>
    </row>
    <row r="21" customFormat="false" ht="15" hidden="false" customHeight="false" outlineLevel="0" collapsed="false">
      <c r="A21" s="7" t="s">
        <v>106</v>
      </c>
    </row>
    <row r="24" customFormat="false" ht="15" hidden="false" customHeight="false" outlineLevel="0" collapsed="false">
      <c r="A24" s="2" t="s">
        <v>107</v>
      </c>
    </row>
    <row r="25" customFormat="false" ht="15" hidden="false" customHeight="false" outlineLevel="0" collapsed="false">
      <c r="A25" s="7" t="s">
        <v>108</v>
      </c>
    </row>
    <row r="26" customFormat="false" ht="15" hidden="false" customHeight="false" outlineLevel="0" collapsed="false">
      <c r="A26" s="4" t="s">
        <v>109</v>
      </c>
      <c r="B26" s="8" t="n">
        <v>0</v>
      </c>
      <c r="C26" s="8" t="n">
        <v>1000</v>
      </c>
      <c r="D26" s="8" t="n">
        <v>2000</v>
      </c>
      <c r="E26" s="8" t="n">
        <v>3000</v>
      </c>
      <c r="F26" s="2" t="s">
        <v>110</v>
      </c>
    </row>
    <row r="27" customFormat="false" ht="15" hidden="false" customHeight="false" outlineLevel="0" collapsed="false">
      <c r="A27" s="5" t="s">
        <v>111</v>
      </c>
      <c r="B27" s="15" t="n">
        <f aca="false">(E5+B$26)/$F27</f>
        <v>2.42885621684886</v>
      </c>
      <c r="C27" s="15" t="n">
        <f aca="false">(E5+C$26)/$F27</f>
        <v>2.50348308252051</v>
      </c>
      <c r="D27" s="15" t="n">
        <f aca="false">(E5+D$26)/$F27</f>
        <v>2.57810994819215</v>
      </c>
      <c r="E27" s="15" t="n">
        <f aca="false">(E5+E$26)/$F27</f>
        <v>2.65273681386379</v>
      </c>
      <c r="F27" s="12" t="n">
        <f aca="false">Inputs!$C$34+Inputs!$C$36</f>
        <v>13400</v>
      </c>
    </row>
    <row r="28" customFormat="false" ht="15" hidden="false" customHeight="false" outlineLevel="0" collapsed="false">
      <c r="A28" s="5" t="s">
        <v>112</v>
      </c>
      <c r="B28" s="15" t="n">
        <f aca="false">(E5+B$26)/$F28</f>
        <v>2.40196850965127</v>
      </c>
      <c r="C28" s="15" t="n">
        <f aca="false">(E5+C$26)/$F28</f>
        <v>2.47576924765865</v>
      </c>
      <c r="D28" s="15" t="n">
        <f aca="false">(E5+D$26)/$F28</f>
        <v>2.54956998566603</v>
      </c>
      <c r="E28" s="15" t="n">
        <f aca="false">(E5+E$26)/$F28</f>
        <v>2.62337072367342</v>
      </c>
      <c r="F28" s="12" t="n">
        <f aca="false">E4</f>
        <v>13550</v>
      </c>
    </row>
    <row r="29" customFormat="false" ht="15" hidden="false" customHeight="false" outlineLevel="0" collapsed="false">
      <c r="A29" s="5" t="s">
        <v>113</v>
      </c>
      <c r="B29" s="15" t="n">
        <f aca="false">(E5+B$26)/$F29</f>
        <v>2.37566958436312</v>
      </c>
      <c r="C29" s="15" t="n">
        <f aca="false">(E5+C$26)/$F29</f>
        <v>2.44866228509305</v>
      </c>
      <c r="D29" s="15" t="n">
        <f aca="false">(E5+D$26)/$F29</f>
        <v>2.52165498582298</v>
      </c>
      <c r="E29" s="15" t="n">
        <f aca="false">(E5+E$26)/$F29</f>
        <v>2.5946476865529</v>
      </c>
      <c r="F29" s="12" t="n">
        <f aca="false">Inputs!$C$35+Inputs!$C$36</f>
        <v>13700</v>
      </c>
    </row>
    <row r="30" customFormat="false" ht="15" hidden="false" customHeight="false" outlineLevel="0" collapsed="false">
      <c r="A30" s="5" t="s">
        <v>114</v>
      </c>
      <c r="B30" s="15" t="n">
        <f aca="false">(E5+B$26)/$F30</f>
        <v>2.52838790489608</v>
      </c>
      <c r="C30" s="15" t="n">
        <f aca="false">(E5+C$26)/$F30</f>
        <v>2.60607289227227</v>
      </c>
      <c r="D30" s="15" t="n">
        <f aca="false">(E5+D$26)/$F30</f>
        <v>2.68375787964846</v>
      </c>
      <c r="E30" s="15" t="n">
        <f aca="false">(E5+E$26)/$F30</f>
        <v>2.76144286702465</v>
      </c>
      <c r="F30" s="12" t="n">
        <f aca="false">E4*0.95</f>
        <v>12872.5</v>
      </c>
    </row>
    <row r="33" customFormat="false" ht="15" hidden="false" customHeight="false" outlineLevel="0" collapsed="false">
      <c r="A33" s="2" t="s">
        <v>115</v>
      </c>
    </row>
    <row r="34" customFormat="false" ht="23.85" hidden="false" customHeight="false" outlineLevel="0" collapsed="false">
      <c r="A34" s="4" t="s">
        <v>116</v>
      </c>
      <c r="B34" s="4" t="s">
        <v>67</v>
      </c>
      <c r="C34" s="4" t="s">
        <v>117</v>
      </c>
      <c r="D34" s="4" t="s">
        <v>118</v>
      </c>
      <c r="E34" s="4" t="s">
        <v>119</v>
      </c>
    </row>
    <row r="35" customFormat="false" ht="15" hidden="false" customHeight="false" outlineLevel="0" collapsed="false">
      <c r="A35" s="5" t="s">
        <v>120</v>
      </c>
      <c r="B35" s="16" t="n">
        <f aca="false">Inputs!$C$38</f>
        <v>2.25</v>
      </c>
      <c r="C35" s="13" t="n">
        <f aca="false">B35*$E$4</f>
        <v>30487.5</v>
      </c>
      <c r="D35" s="13" t="n">
        <f aca="false">C35-$E$5</f>
        <v>-2059.17330577477</v>
      </c>
      <c r="E35" s="18" t="n">
        <f aca="false">1-$E$5/C35</f>
        <v>-0.0675415598450109</v>
      </c>
    </row>
    <row r="36" customFormat="false" ht="15" hidden="false" customHeight="false" outlineLevel="0" collapsed="false">
      <c r="A36" s="5" t="s">
        <v>121</v>
      </c>
      <c r="B36" s="16" t="n">
        <f aca="false">Inputs!$C$37</f>
        <v>2.75</v>
      </c>
      <c r="C36" s="13" t="n">
        <f aca="false">B36*$E$4</f>
        <v>37262.5</v>
      </c>
      <c r="D36" s="13" t="n">
        <f aca="false">C36-$E$5</f>
        <v>4715.82669422523</v>
      </c>
      <c r="E36" s="18" t="n">
        <f aca="false">1-$E$5/C36</f>
        <v>0.126556905581355</v>
      </c>
    </row>
    <row r="38" customFormat="false" ht="15" hidden="false" customHeight="false" outlineLevel="0" collapsed="false">
      <c r="A38" s="7"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7"/>
    <col collapsed="false" customWidth="true" hidden="false" outlineLevel="0" max="8" min="8" style="0" width="85"/>
  </cols>
  <sheetData>
    <row r="1" customFormat="false" ht="17.35" hidden="false" customHeight="false" outlineLevel="0" collapsed="false">
      <c r="A1" s="1" t="s">
        <v>123</v>
      </c>
    </row>
    <row r="2" customFormat="false" ht="15" hidden="false" customHeight="false" outlineLevel="0" collapsed="false">
      <c r="A2" s="7" t="s">
        <v>124</v>
      </c>
    </row>
    <row r="3" customFormat="false" ht="15" hidden="false" customHeight="false" outlineLevel="0" collapsed="false">
      <c r="A3" s="5" t="s">
        <v>125</v>
      </c>
      <c r="B3" s="19" t="n">
        <v>46311</v>
      </c>
    </row>
    <row r="4" customFormat="false" ht="23.85" hidden="false" customHeight="false" outlineLevel="0" collapsed="false">
      <c r="A4" s="4" t="s">
        <v>126</v>
      </c>
      <c r="B4" s="4" t="s">
        <v>127</v>
      </c>
      <c r="C4" s="4" t="s">
        <v>128</v>
      </c>
      <c r="D4" s="4" t="s">
        <v>129</v>
      </c>
      <c r="E4" s="4" t="s">
        <v>130</v>
      </c>
      <c r="F4" s="4" t="s">
        <v>131</v>
      </c>
      <c r="G4" s="4" t="s">
        <v>132</v>
      </c>
      <c r="H4" s="4" t="s">
        <v>18</v>
      </c>
    </row>
    <row r="5" customFormat="false" ht="15" hidden="false" customHeight="false" outlineLevel="0" collapsed="false">
      <c r="A5" s="2" t="s">
        <v>133</v>
      </c>
    </row>
    <row r="6" customFormat="false" ht="15" hidden="false" customHeight="false" outlineLevel="0" collapsed="false">
      <c r="A6" s="5" t="s">
        <v>134</v>
      </c>
      <c r="B6" s="19" t="n">
        <v>47811</v>
      </c>
      <c r="C6" s="20" t="n">
        <f aca="false">(B6-$B$3)/365.25</f>
        <v>4.10677618069815</v>
      </c>
      <c r="D6" s="11" t="n">
        <v>0.01625</v>
      </c>
      <c r="E6" s="11" t="n">
        <v>0.0405</v>
      </c>
      <c r="F6" s="9" t="n">
        <v>88.9</v>
      </c>
      <c r="G6" s="19" t="n">
        <v>46311</v>
      </c>
      <c r="H6" s="7" t="s">
        <v>135</v>
      </c>
    </row>
    <row r="7" customFormat="false" ht="15" hidden="false" customHeight="false" outlineLevel="0" collapsed="false">
      <c r="A7" s="5" t="s">
        <v>136</v>
      </c>
      <c r="B7" s="19" t="n">
        <v>49279</v>
      </c>
      <c r="C7" s="20" t="n">
        <f aca="false">(B7-$B$3)/365.25</f>
        <v>8.12594113620808</v>
      </c>
      <c r="D7" s="11" t="n">
        <v>0.0275</v>
      </c>
      <c r="E7" s="11" t="n">
        <v>0.0455</v>
      </c>
      <c r="F7" s="21" t="n">
        <v>101</v>
      </c>
      <c r="G7" s="22" t="n">
        <v>46295</v>
      </c>
      <c r="H7" s="7" t="s">
        <v>137</v>
      </c>
    </row>
    <row r="8" customFormat="false" ht="15" hidden="false" customHeight="false" outlineLevel="0" collapsed="false">
      <c r="A8" s="5" t="s">
        <v>138</v>
      </c>
      <c r="B8" s="19" t="n">
        <v>50364</v>
      </c>
      <c r="C8" s="20" t="n">
        <f aca="false">(B8-$B$3)/365.25</f>
        <v>11.0965092402464</v>
      </c>
      <c r="D8" s="11" t="n">
        <v>0.02875</v>
      </c>
      <c r="E8" s="11" t="n">
        <v>0.0471</v>
      </c>
      <c r="F8" s="9" t="n">
        <v>123.3</v>
      </c>
      <c r="G8" s="19" t="n">
        <v>46311</v>
      </c>
      <c r="H8" s="7" t="s">
        <v>139</v>
      </c>
    </row>
    <row r="9" customFormat="false" ht="15" hidden="false" customHeight="false" outlineLevel="0" collapsed="false">
      <c r="A9" s="5" t="s">
        <v>140</v>
      </c>
      <c r="B9" s="19" t="n">
        <v>50914</v>
      </c>
      <c r="C9" s="20" t="n">
        <f aca="false">(B9-$B$3)/365.25</f>
        <v>12.6023271731691</v>
      </c>
      <c r="D9" s="11" t="n">
        <v>0.025</v>
      </c>
      <c r="E9" s="11" t="n">
        <v>0.048</v>
      </c>
      <c r="F9" s="9" t="n">
        <v>117.7</v>
      </c>
      <c r="G9" s="19" t="n">
        <v>46311</v>
      </c>
      <c r="H9" s="7" t="s">
        <v>141</v>
      </c>
    </row>
    <row r="11" customFormat="false" ht="15" hidden="false" customHeight="false" outlineLevel="0" collapsed="false">
      <c r="A11" s="2" t="s">
        <v>142</v>
      </c>
    </row>
    <row r="12" customFormat="false" ht="15" hidden="false" customHeight="false" outlineLevel="0" collapsed="false">
      <c r="A12" s="5" t="s">
        <v>143</v>
      </c>
      <c r="F12" s="23" t="n">
        <f aca="false">F7+(10-C7)/(C8-C7)*(F8-F7)</f>
        <v>115.068525345622</v>
      </c>
    </row>
    <row r="13" customFormat="false" ht="15" hidden="false" customHeight="false" outlineLevel="0" collapsed="false">
      <c r="A13" s="5" t="s">
        <v>144</v>
      </c>
      <c r="F13" s="24" t="n">
        <f aca="false">SLOPE(F6:F9,C6:C9)</f>
        <v>3.95876980770622</v>
      </c>
    </row>
    <row r="14" customFormat="false" ht="15" hidden="false" customHeight="false" outlineLevel="0" collapsed="false">
      <c r="A14" s="5" t="s">
        <v>145</v>
      </c>
      <c r="F14" s="20" t="n">
        <f aca="false">INTERCEPT(F7:F9,C7:C9)+SLOPE(F7:F9,C7:C9)*10</f>
        <v>111.40971839295</v>
      </c>
    </row>
    <row r="15" customFormat="false" ht="15" hidden="false" customHeight="false" outlineLevel="0" collapsed="false">
      <c r="A15" s="5" t="s">
        <v>146</v>
      </c>
      <c r="F15" s="20" t="n">
        <f aca="false">F12-F14</f>
        <v>3.65880695267255</v>
      </c>
    </row>
    <row r="17" customFormat="false" ht="15" hidden="false" customHeight="false" outlineLevel="0" collapsed="false">
      <c r="A17" s="2" t="s">
        <v>147</v>
      </c>
    </row>
    <row r="18" customFormat="false" ht="23.85" hidden="false" customHeight="false" outlineLevel="0" collapsed="false">
      <c r="A18" s="4" t="s">
        <v>126</v>
      </c>
      <c r="B18" s="4" t="s">
        <v>127</v>
      </c>
      <c r="C18" s="4" t="s">
        <v>128</v>
      </c>
      <c r="D18" s="4" t="s">
        <v>129</v>
      </c>
      <c r="E18" s="4" t="s">
        <v>130</v>
      </c>
      <c r="F18" s="4" t="s">
        <v>131</v>
      </c>
      <c r="G18" s="4" t="s">
        <v>148</v>
      </c>
      <c r="H18" s="4" t="s">
        <v>18</v>
      </c>
    </row>
    <row r="19" customFormat="false" ht="15" hidden="false" customHeight="false" outlineLevel="0" collapsed="false">
      <c r="A19" s="5" t="s">
        <v>149</v>
      </c>
      <c r="B19" s="19" t="n">
        <v>48785</v>
      </c>
      <c r="C19" s="20" t="n">
        <f aca="false">(B19-$B$3)/365.25</f>
        <v>6.77344284736482</v>
      </c>
      <c r="D19" s="11" t="n">
        <v>0.022</v>
      </c>
      <c r="E19" s="11" t="n">
        <v>0.0422</v>
      </c>
      <c r="F19" s="9" t="n">
        <v>89.5</v>
      </c>
      <c r="G19" s="20" t="n">
        <f aca="false">F19+$F$13*(10-C19)</f>
        <v>102.273197038691</v>
      </c>
      <c r="H19" s="7" t="s">
        <v>150</v>
      </c>
    </row>
    <row r="20" customFormat="false" ht="15" hidden="false" customHeight="false" outlineLevel="0" collapsed="false">
      <c r="A20" s="5" t="s">
        <v>151</v>
      </c>
      <c r="B20" s="19" t="n">
        <v>49326</v>
      </c>
      <c r="C20" s="20" t="n">
        <f aca="false">(B20-$B$3)/365.25</f>
        <v>8.25462012320329</v>
      </c>
      <c r="D20" s="11" t="n">
        <v>0.0325</v>
      </c>
      <c r="E20" s="11" t="n">
        <v>0.045</v>
      </c>
      <c r="F20" s="9" t="n">
        <v>108.9</v>
      </c>
      <c r="G20" s="20" t="n">
        <f aca="false">F20+$F$13*(10-C20)</f>
        <v>115.809557159241</v>
      </c>
      <c r="H20" s="7" t="s">
        <v>152</v>
      </c>
    </row>
    <row r="21" customFormat="false" ht="15" hidden="false" customHeight="false" outlineLevel="0" collapsed="false">
      <c r="A21" s="5" t="s">
        <v>153</v>
      </c>
      <c r="B21" s="19" t="n">
        <v>49485</v>
      </c>
      <c r="C21" s="20" t="n">
        <f aca="false">(B21-$B$3)/365.25</f>
        <v>8.68993839835729</v>
      </c>
      <c r="D21" s="11" t="n">
        <v>0.03941</v>
      </c>
      <c r="E21" s="11" t="n">
        <v>0.0482</v>
      </c>
      <c r="F21" s="9" t="n">
        <v>141.7</v>
      </c>
      <c r="G21" s="20" t="n">
        <f aca="false">F21+$F$13*(10-C21)</f>
        <v>146.886232314818</v>
      </c>
      <c r="H21" s="7" t="s">
        <v>154</v>
      </c>
    </row>
    <row r="22" customFormat="false" ht="15" hidden="false" customHeight="false" outlineLevel="0" collapsed="false">
      <c r="A22" s="5" t="s">
        <v>155</v>
      </c>
      <c r="B22" s="19" t="n">
        <v>49369</v>
      </c>
      <c r="C22" s="20" t="n">
        <f aca="false">(B22-$B$3)/365.25</f>
        <v>8.37234770704997</v>
      </c>
      <c r="D22" s="11" t="n">
        <v>0.0375</v>
      </c>
      <c r="E22" s="11" t="n">
        <v>0.0465</v>
      </c>
      <c r="F22" s="21" t="n">
        <v>104.5</v>
      </c>
      <c r="G22" s="20" t="n">
        <f aca="false">F22+$F$13*(10-C22)</f>
        <v>110.943500754774</v>
      </c>
      <c r="H22" s="7" t="s">
        <v>156</v>
      </c>
    </row>
    <row r="24" customFormat="false" ht="15" hidden="false" customHeight="false" outlineLevel="0" collapsed="false">
      <c r="A24" s="2" t="s">
        <v>157</v>
      </c>
      <c r="G24" s="23" t="n">
        <f aca="false">AVERAGE(G19:G22)</f>
        <v>118.978121816881</v>
      </c>
    </row>
    <row r="25" customFormat="false" ht="15" hidden="false" customHeight="false" outlineLevel="0" collapsed="false">
      <c r="A25" s="5" t="s">
        <v>158</v>
      </c>
      <c r="F25" s="20" t="n">
        <f aca="false">MIN(G19:G22)</f>
        <v>102.273197038691</v>
      </c>
      <c r="G25" s="20" t="n">
        <f aca="false">MAX(G19:G22)</f>
        <v>146.886232314818</v>
      </c>
    </row>
    <row r="26" customFormat="false" ht="15" hidden="false" customHeight="false" outlineLevel="0" collapsed="false">
      <c r="A26" s="5" t="s">
        <v>159</v>
      </c>
      <c r="G26" s="20" t="n">
        <f aca="false">F12-G24</f>
        <v>-3.90959647125895</v>
      </c>
    </row>
    <row r="28" customFormat="false" ht="15" hidden="false" customHeight="false" outlineLevel="0" collapsed="false">
      <c r="A28" s="7"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28"/>
    <col collapsed="false" customWidth="true" hidden="false" outlineLevel="0" max="4" min="4" style="0" width="14"/>
    <col collapsed="false" customWidth="true" hidden="false" outlineLevel="0" max="5" min="5" style="0" width="28"/>
    <col collapsed="false" customWidth="true" hidden="false" outlineLevel="0" max="6" min="6" style="0" width="14"/>
  </cols>
  <sheetData>
    <row r="1" customFormat="false" ht="17.35" hidden="false" customHeight="false" outlineLevel="0" collapsed="false">
      <c r="A1" s="1" t="s">
        <v>161</v>
      </c>
    </row>
    <row r="2" customFormat="false" ht="15" hidden="false" customHeight="false" outlineLevel="0" collapsed="false">
      <c r="A2" s="7" t="s">
        <v>162</v>
      </c>
    </row>
    <row r="4" customFormat="false" ht="15" hidden="false" customHeight="false" outlineLevel="0" collapsed="false">
      <c r="A4" s="4" t="s">
        <v>163</v>
      </c>
      <c r="B4" s="4" t="s">
        <v>45</v>
      </c>
      <c r="C4" s="4" t="s">
        <v>164</v>
      </c>
    </row>
    <row r="5" customFormat="false" ht="15" hidden="false" customHeight="false" outlineLevel="0" collapsed="false">
      <c r="A5" s="5" t="s">
        <v>165</v>
      </c>
      <c r="B5" s="19" t="n">
        <v>46315</v>
      </c>
      <c r="C5" s="7" t="s">
        <v>166</v>
      </c>
    </row>
    <row r="6" customFormat="false" ht="15" hidden="false" customHeight="false" outlineLevel="0" collapsed="false">
      <c r="A6" s="5" t="s">
        <v>167</v>
      </c>
      <c r="B6" s="25" t="n">
        <f aca="false">B5+7</f>
        <v>46322</v>
      </c>
      <c r="C6" s="7" t="s">
        <v>168</v>
      </c>
    </row>
    <row r="7" customFormat="false" ht="15" hidden="false" customHeight="false" outlineLevel="0" collapsed="false">
      <c r="A7" s="5" t="s">
        <v>169</v>
      </c>
      <c r="B7" s="26" t="n">
        <v>10</v>
      </c>
      <c r="C7" s="7" t="s">
        <v>170</v>
      </c>
    </row>
    <row r="8" customFormat="false" ht="15" hidden="false" customHeight="false" outlineLevel="0" collapsed="false">
      <c r="A8" s="5" t="s">
        <v>127</v>
      </c>
      <c r="B8" s="25" t="n">
        <f aca="false">EDATE(B6,12*B7)</f>
        <v>49975</v>
      </c>
      <c r="C8" s="7"/>
    </row>
    <row r="9" customFormat="false" ht="15" hidden="false" customHeight="false" outlineLevel="0" collapsed="false">
      <c r="A9" s="5" t="s">
        <v>171</v>
      </c>
      <c r="B9" s="6" t="n">
        <v>1000</v>
      </c>
      <c r="C9" s="7" t="s">
        <v>172</v>
      </c>
    </row>
    <row r="10" customFormat="false" ht="15" hidden="false" customHeight="false" outlineLevel="0" collapsed="false">
      <c r="A10" s="5" t="s">
        <v>173</v>
      </c>
      <c r="B10" s="27" t="n">
        <f aca="false">Inputs!$C$40</f>
        <v>0.0338</v>
      </c>
      <c r="C10" s="7" t="s">
        <v>174</v>
      </c>
    </row>
    <row r="11" customFormat="false" ht="15" hidden="false" customHeight="false" outlineLevel="0" collapsed="false">
      <c r="A11" s="5" t="s">
        <v>175</v>
      </c>
      <c r="B11" s="28" t="n">
        <f aca="false">Comps!F12</f>
        <v>115.068525345622</v>
      </c>
      <c r="C11" s="7" t="s">
        <v>176</v>
      </c>
    </row>
    <row r="12" customFormat="false" ht="15" hidden="false" customHeight="false" outlineLevel="0" collapsed="false">
      <c r="A12" s="5" t="s">
        <v>177</v>
      </c>
      <c r="B12" s="28" t="n">
        <f aca="false">Inputs!$C$42</f>
        <v>0</v>
      </c>
      <c r="C12" s="7" t="s">
        <v>178</v>
      </c>
    </row>
    <row r="13" customFormat="false" ht="15" hidden="false" customHeight="false" outlineLevel="0" collapsed="false">
      <c r="A13" s="5" t="s">
        <v>179</v>
      </c>
      <c r="B13" s="23" t="n">
        <f aca="false">B11+B12</f>
        <v>115.068525345622</v>
      </c>
      <c r="C13" s="7"/>
    </row>
    <row r="14" customFormat="false" ht="15" hidden="false" customHeight="false" outlineLevel="0" collapsed="false">
      <c r="A14" s="5" t="s">
        <v>180</v>
      </c>
      <c r="B14" s="29" t="n">
        <f aca="false">B10+B13/10000</f>
        <v>0.0453068525345622</v>
      </c>
      <c r="C14" s="7" t="s">
        <v>181</v>
      </c>
    </row>
    <row r="15" customFormat="false" ht="15" hidden="false" customHeight="false" outlineLevel="0" collapsed="false">
      <c r="A15" s="5" t="s">
        <v>182</v>
      </c>
      <c r="B15" s="30" t="n">
        <f aca="false">FLOOR(B14,0.00125)</f>
        <v>0.045</v>
      </c>
      <c r="C15" s="7" t="s">
        <v>183</v>
      </c>
    </row>
    <row r="16" customFormat="false" ht="15" hidden="false" customHeight="false" outlineLevel="0" collapsed="false">
      <c r="A16" s="5" t="s">
        <v>184</v>
      </c>
      <c r="B16" s="31" t="n">
        <f aca="false">PRICE(B6,B8,B15,B14,100,1,1)</f>
        <v>99.7575621467199</v>
      </c>
      <c r="C16" s="7" t="s">
        <v>185</v>
      </c>
    </row>
    <row r="17" customFormat="false" ht="15" hidden="false" customHeight="false" outlineLevel="0" collapsed="false">
      <c r="A17" s="5" t="s">
        <v>186</v>
      </c>
      <c r="B17" s="13" t="n">
        <f aca="false">B9*1000000*(PRICE(B6,B8,B15,B14-0.0001,100,1,1)-PRICE(B6,B8,B15,B14+0.0001,100,1,1))/2/100</f>
        <v>788888.392145282</v>
      </c>
      <c r="C17" s="7" t="s">
        <v>187</v>
      </c>
    </row>
    <row r="19" customFormat="false" ht="15" hidden="false" customHeight="false" outlineLevel="0" collapsed="false">
      <c r="A19" s="2" t="s">
        <v>188</v>
      </c>
    </row>
    <row r="20" customFormat="false" ht="15" hidden="false" customHeight="false" outlineLevel="0" collapsed="false">
      <c r="A20" s="4" t="s">
        <v>189</v>
      </c>
      <c r="B20" s="4" t="s">
        <v>190</v>
      </c>
      <c r="C20" s="4" t="s">
        <v>191</v>
      </c>
    </row>
    <row r="21" customFormat="false" ht="15" hidden="false" customHeight="false" outlineLevel="0" collapsed="false">
      <c r="A21" s="5" t="s">
        <v>192</v>
      </c>
      <c r="B21" s="28" t="n">
        <f aca="false">Comps!F12</f>
        <v>115.068525345622</v>
      </c>
      <c r="C21" s="20" t="n">
        <f aca="false">B21-$B$21</f>
        <v>0</v>
      </c>
    </row>
    <row r="22" customFormat="false" ht="15" hidden="false" customHeight="false" outlineLevel="0" collapsed="false">
      <c r="A22" s="5" t="s">
        <v>193</v>
      </c>
      <c r="B22" s="28" t="n">
        <f aca="false">Comps!F14</f>
        <v>111.40971839295</v>
      </c>
      <c r="C22" s="20" t="n">
        <f aca="false">B22-$B$21</f>
        <v>-3.65880695267255</v>
      </c>
    </row>
    <row r="23" customFormat="false" ht="15" hidden="false" customHeight="false" outlineLevel="0" collapsed="false">
      <c r="A23" s="5" t="s">
        <v>194</v>
      </c>
      <c r="B23" s="28" t="n">
        <f aca="false">Comps!G24</f>
        <v>118.978121816881</v>
      </c>
      <c r="C23" s="20" t="n">
        <f aca="false">B23-$B$21</f>
        <v>3.90959647125895</v>
      </c>
    </row>
    <row r="24" customFormat="false" ht="15" hidden="false" customHeight="false" outlineLevel="0" collapsed="false">
      <c r="A24" s="5" t="s">
        <v>195</v>
      </c>
      <c r="B24" s="28" t="n">
        <f aca="false">Comps!F25</f>
        <v>102.273197038691</v>
      </c>
      <c r="C24" s="20" t="n">
        <f aca="false">B24-$B$21</f>
        <v>-12.7953283069314</v>
      </c>
    </row>
    <row r="25" customFormat="false" ht="15" hidden="false" customHeight="false" outlineLevel="0" collapsed="false">
      <c r="A25" s="5" t="s">
        <v>196</v>
      </c>
      <c r="B25" s="28" t="n">
        <f aca="false">Comps!G25</f>
        <v>146.886232314818</v>
      </c>
      <c r="C25" s="20" t="n">
        <f aca="false">B25-$B$21</f>
        <v>31.8177069691963</v>
      </c>
    </row>
    <row r="26" customFormat="false" ht="15" hidden="false" customHeight="false" outlineLevel="0" collapsed="false">
      <c r="A26" s="7" t="s">
        <v>197</v>
      </c>
    </row>
    <row r="28" customFormat="false" ht="15" hidden="false" customHeight="false" outlineLevel="0" collapsed="false">
      <c r="A28" s="2" t="s">
        <v>198</v>
      </c>
    </row>
    <row r="29" customFormat="false" ht="15" hidden="false" customHeight="false" outlineLevel="0" collapsed="false">
      <c r="A29" s="4" t="s">
        <v>199</v>
      </c>
      <c r="B29" s="4" t="s">
        <v>171</v>
      </c>
      <c r="C29" s="4" t="s">
        <v>200</v>
      </c>
      <c r="D29" s="4" t="s">
        <v>201</v>
      </c>
      <c r="E29" s="4" t="s">
        <v>202</v>
      </c>
    </row>
    <row r="30" customFormat="false" ht="15" hidden="false" customHeight="false" outlineLevel="0" collapsed="false">
      <c r="A30" s="5" t="s">
        <v>203</v>
      </c>
      <c r="B30" s="32" t="n">
        <f aca="false">Inputs!$C$43</f>
        <v>750</v>
      </c>
      <c r="C30" s="27" t="n">
        <f aca="false">Inputs!$C$44</f>
        <v>0.009</v>
      </c>
      <c r="D30" s="30" t="n">
        <f aca="false">$B$15</f>
        <v>0.045</v>
      </c>
      <c r="E30" s="33" t="n">
        <f aca="false">B30*(D30-C30)</f>
        <v>27</v>
      </c>
    </row>
    <row r="31" customFormat="false" ht="15" hidden="false" customHeight="false" outlineLevel="0" collapsed="false">
      <c r="A31" s="5" t="s">
        <v>204</v>
      </c>
      <c r="B31" s="32" t="n">
        <f aca="false">Inputs!$C$45</f>
        <v>357.31</v>
      </c>
      <c r="C31" s="27" t="n">
        <f aca="false">Inputs!$C$46</f>
        <v>0.015</v>
      </c>
      <c r="D31" s="30" t="n">
        <f aca="false">$B$15</f>
        <v>0.045</v>
      </c>
      <c r="E31" s="33" t="n">
        <f aca="false">B31*(D31-C31)</f>
        <v>10.7193</v>
      </c>
    </row>
    <row r="32" customFormat="false" ht="15" hidden="false" customHeight="false" outlineLevel="0" collapsed="false">
      <c r="A32" s="2" t="s">
        <v>205</v>
      </c>
      <c r="E32" s="34" t="n">
        <f aca="false">SUM(E30:E31)</f>
        <v>37.7193</v>
      </c>
    </row>
    <row r="33" customFormat="false" ht="15" hidden="false" customHeight="false" outlineLevel="0" collapsed="false">
      <c r="A33" s="5" t="s">
        <v>206</v>
      </c>
      <c r="E33" s="35" t="n">
        <f aca="false">(B15-Inputs!$C$39)*10000</f>
        <v>150</v>
      </c>
    </row>
    <row r="35" customFormat="false" ht="15" hidden="false" customHeight="false" outlineLevel="0" collapsed="false">
      <c r="A35" s="2" t="s">
        <v>207</v>
      </c>
    </row>
    <row r="36" customFormat="false" ht="15" hidden="false" customHeight="false" outlineLevel="0" collapsed="false">
      <c r="A36" s="4" t="s">
        <v>208</v>
      </c>
      <c r="B36" s="26" t="n">
        <v>-50</v>
      </c>
      <c r="C36" s="26" t="n">
        <v>-25</v>
      </c>
      <c r="D36" s="26" t="n">
        <v>0</v>
      </c>
      <c r="E36" s="26" t="n">
        <v>25</v>
      </c>
      <c r="F36" s="26" t="n">
        <v>50</v>
      </c>
    </row>
    <row r="37" customFormat="false" ht="15" hidden="false" customHeight="false" outlineLevel="0" collapsed="false">
      <c r="A37" s="26" t="n">
        <v>-20</v>
      </c>
      <c r="B37" s="31" t="n">
        <f aca="false">PRICE($B$6,$B$8,$B$15,$B$14+($A37+B$36)/10000,100,1,1)</f>
        <v>105.474790001484</v>
      </c>
      <c r="C37" s="31" t="n">
        <f aca="false">PRICE($B$6,$B$8,$B$15,$B$14+($A37+C$36)/10000,100,1,1)</f>
        <v>103.38739860929</v>
      </c>
      <c r="D37" s="31" t="n">
        <f aca="false">PRICE($B$6,$B$8,$B$15,$B$14+($A37+D$36)/10000,100,1,1)</f>
        <v>101.350963181916</v>
      </c>
      <c r="E37" s="31" t="n">
        <f aca="false">PRICE($B$6,$B$8,$B$15,$B$14+($A37+E$36)/10000,100,1,1)</f>
        <v>99.3640855571685</v>
      </c>
      <c r="F37" s="31" t="n">
        <f aca="false">PRICE($B$6,$B$8,$B$15,$B$14+($A37+F$36)/10000,100,1,1)</f>
        <v>97.4254095911795</v>
      </c>
    </row>
    <row r="38" customFormat="false" ht="15" hidden="false" customHeight="false" outlineLevel="0" collapsed="false">
      <c r="A38" s="26" t="n">
        <v>-10</v>
      </c>
      <c r="B38" s="31" t="n">
        <f aca="false">PRICE($B$6,$B$8,$B$15,$B$14+($A38+B$36)/10000,100,1,1)</f>
        <v>104.633627456447</v>
      </c>
      <c r="C38" s="31" t="n">
        <f aca="false">PRICE($B$6,$B$8,$B$15,$B$14+($A38+C$36)/10000,100,1,1)</f>
        <v>102.566788977106</v>
      </c>
      <c r="D38" s="31" t="n">
        <f aca="false">PRICE($B$6,$B$8,$B$15,$B$14+($A38+D$36)/10000,100,1,1)</f>
        <v>100.550342066057</v>
      </c>
      <c r="E38" s="31" t="n">
        <f aca="false">PRICE($B$6,$B$8,$B$15,$B$14+($A38+E$36)/10000,100,1,1)</f>
        <v>98.5829055354647</v>
      </c>
      <c r="F38" s="31" t="n">
        <f aca="false">PRICE($B$6,$B$8,$B$15,$B$14+($A38+F$36)/10000,100,1,1)</f>
        <v>96.6631396636394</v>
      </c>
    </row>
    <row r="39" customFormat="false" ht="15" hidden="false" customHeight="false" outlineLevel="0" collapsed="false">
      <c r="A39" s="26" t="n">
        <v>0</v>
      </c>
      <c r="B39" s="31" t="n">
        <f aca="false">PRICE($B$6,$B$8,$B$15,$B$14+($A39+B$36)/10000,100,1,1)</f>
        <v>103.800754914058</v>
      </c>
      <c r="C39" s="31" t="n">
        <f aca="false">PRICE($B$6,$B$8,$B$15,$B$14+($A39+C$36)/10000,100,1,1)</f>
        <v>101.754241515873</v>
      </c>
      <c r="D39" s="31" t="n">
        <f aca="false">PRICE($B$6,$B$8,$B$15,$B$14+($A39+D$36)/10000,100,1,1)</f>
        <v>99.7575621467199</v>
      </c>
      <c r="E39" s="31" t="n">
        <f aca="false">PRICE($B$6,$B$8,$B$15,$B$14+($A39+E$36)/10000,100,1,1)</f>
        <v>97.8093523698917</v>
      </c>
      <c r="F39" s="31" t="n">
        <f aca="false">PRICE($B$6,$B$8,$B$15,$B$14+($A39+F$36)/10000,100,1,1)</f>
        <v>95.9082886704409</v>
      </c>
    </row>
    <row r="40" customFormat="false" ht="15" hidden="false" customHeight="false" outlineLevel="0" collapsed="false">
      <c r="A40" s="26" t="n">
        <v>10</v>
      </c>
      <c r="B40" s="31" t="n">
        <f aca="false">PRICE($B$6,$B$8,$B$15,$B$14+($A40+B$36)/10000,100,1,1)</f>
        <v>102.976080404147</v>
      </c>
      <c r="C40" s="31" t="n">
        <f aca="false">PRICE($B$6,$B$8,$B$15,$B$14+($A40+C$36)/10000,100,1,1)</f>
        <v>100.949667025626</v>
      </c>
      <c r="D40" s="31" t="n">
        <f aca="false">PRICE($B$6,$B$8,$B$15,$B$14+($A40+D$36)/10000,100,1,1)</f>
        <v>98.9725369039</v>
      </c>
      <c r="E40" s="31" t="n">
        <f aca="false">PRICE($B$6,$B$8,$B$15,$B$14+($A40+E$36)/10000,100,1,1)</f>
        <v>97.043342133311</v>
      </c>
      <c r="F40" s="31" t="n">
        <f aca="false">PRICE($B$6,$B$8,$B$15,$B$14+($A40+F$36)/10000,100,1,1)</f>
        <v>95.1607751932552</v>
      </c>
    </row>
    <row r="41" customFormat="false" ht="15" hidden="false" customHeight="false" outlineLevel="0" collapsed="false">
      <c r="A41" s="26" t="n">
        <v>20</v>
      </c>
      <c r="B41" s="31" t="n">
        <f aca="false">PRICE($B$6,$B$8,$B$15,$B$14+($A41+B$36)/10000,100,1,1)</f>
        <v>102.159513075661</v>
      </c>
      <c r="C41" s="31" t="n">
        <f aca="false">PRICE($B$6,$B$8,$B$15,$B$14+($A41+C$36)/10000,100,1,1)</f>
        <v>100.152977389035</v>
      </c>
      <c r="D41" s="31" t="n">
        <f aca="false">PRICE($B$6,$B$8,$B$15,$B$14+($A41+D$36)/10000,100,1,1)</f>
        <v>98.1951808650173</v>
      </c>
      <c r="E41" s="31" t="n">
        <f aca="false">PRICE($B$6,$B$8,$B$15,$B$14+($A41+E$36)/10000,100,1,1)</f>
        <v>96.284791912028</v>
      </c>
      <c r="F41" s="31" t="n">
        <f aca="false">PRICE($B$6,$B$8,$B$15,$B$14+($A41+F$36)/10000,100,1,1)</f>
        <v>94.4205187944003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90"/>
  </cols>
  <sheetData>
    <row r="1" customFormat="false" ht="17.35" hidden="false" customHeight="false" outlineLevel="0" collapsed="false">
      <c r="A1" s="1" t="s">
        <v>209</v>
      </c>
    </row>
    <row r="3" customFormat="false" ht="15" hidden="false" customHeight="false" outlineLevel="0" collapsed="false">
      <c r="A3" s="4" t="s">
        <v>14</v>
      </c>
      <c r="B3" s="4" t="s">
        <v>45</v>
      </c>
      <c r="C3" s="4" t="s">
        <v>210</v>
      </c>
    </row>
    <row r="4" customFormat="false" ht="15" hidden="false" customHeight="false" outlineLevel="0" collapsed="false">
      <c r="A4" s="5" t="s">
        <v>129</v>
      </c>
      <c r="B4" s="11" t="n">
        <v>0.04125</v>
      </c>
      <c r="C4" s="7" t="s">
        <v>211</v>
      </c>
    </row>
    <row r="5" customFormat="false" ht="15" hidden="false" customHeight="false" outlineLevel="0" collapsed="false">
      <c r="A5" s="5" t="s">
        <v>184</v>
      </c>
      <c r="B5" s="36" t="n">
        <v>98.515</v>
      </c>
      <c r="C5" s="7" t="s">
        <v>212</v>
      </c>
    </row>
    <row r="6" customFormat="false" ht="15" hidden="false" customHeight="false" outlineLevel="0" collapsed="false">
      <c r="A6" s="5" t="s">
        <v>213</v>
      </c>
      <c r="B6" s="11" t="n">
        <v>0.04261</v>
      </c>
      <c r="C6" s="7" t="s">
        <v>212</v>
      </c>
    </row>
    <row r="7" customFormat="false" ht="15" hidden="false" customHeight="false" outlineLevel="0" collapsed="false">
      <c r="A7" s="5" t="s">
        <v>214</v>
      </c>
      <c r="B7" s="19" t="n">
        <v>46084</v>
      </c>
      <c r="C7" s="7" t="s">
        <v>215</v>
      </c>
    </row>
    <row r="8" customFormat="false" ht="15" hidden="false" customHeight="false" outlineLevel="0" collapsed="false">
      <c r="A8" s="5" t="s">
        <v>127</v>
      </c>
      <c r="B8" s="19" t="n">
        <v>51618</v>
      </c>
      <c r="C8" s="7" t="s">
        <v>212</v>
      </c>
    </row>
    <row r="9" customFormat="false" ht="15" hidden="false" customHeight="false" outlineLevel="0" collapsed="false">
      <c r="A9" s="2" t="s">
        <v>216</v>
      </c>
      <c r="B9" s="29" t="n">
        <f aca="false">YIELD(B7,B8,B4,B5,100,1,1)</f>
        <v>0.0425901399253119</v>
      </c>
    </row>
    <row r="10" customFormat="false" ht="15" hidden="false" customHeight="false" outlineLevel="0" collapsed="false">
      <c r="A10" s="5" t="s">
        <v>217</v>
      </c>
      <c r="B10" s="20" t="n">
        <f aca="false">(B9-B6)*10000</f>
        <v>-0.198600746881411</v>
      </c>
      <c r="C10" s="7" t="s">
        <v>218</v>
      </c>
    </row>
    <row r="12" customFormat="false" ht="15" hidden="false" customHeight="false" outlineLevel="0" collapsed="false">
      <c r="A12" s="5" t="s">
        <v>219</v>
      </c>
      <c r="B12" s="28" t="n">
        <f aca="false">(B6-Inputs!$C$41)*10000</f>
        <v>156.1</v>
      </c>
      <c r="C12" s="7" t="s">
        <v>220</v>
      </c>
    </row>
    <row r="13" customFormat="false" ht="15" hidden="false" customHeight="false" outlineLevel="0" collapsed="false">
      <c r="A13" s="5" t="s">
        <v>221</v>
      </c>
      <c r="B13" s="28" t="n">
        <f aca="false">(Comps!E9-Inputs!$C$40)*10000</f>
        <v>142</v>
      </c>
      <c r="C13" s="7" t="s">
        <v>222</v>
      </c>
    </row>
    <row r="14" customFormat="false" ht="15" hidden="false" customHeight="false" outlineLevel="0" collapsed="false">
      <c r="A14" s="5" t="s">
        <v>223</v>
      </c>
      <c r="B14" s="28" t="n">
        <f aca="false">(Inputs!$C$40-Inputs!$C$41)*10000</f>
        <v>68</v>
      </c>
    </row>
    <row r="15" customFormat="false" ht="15" hidden="false" customHeight="false" outlineLevel="0" collapsed="false">
      <c r="A15" s="5" t="s">
        <v>224</v>
      </c>
      <c r="B15" s="28" t="n">
        <f aca="false">(Comps!E9-B6)*10000</f>
        <v>53.9</v>
      </c>
      <c r="C15" s="7" t="s">
        <v>225</v>
      </c>
    </row>
    <row r="16" customFormat="false" ht="15" hidden="false" customHeight="false" outlineLevel="0" collapsed="false">
      <c r="A16" s="5" t="s">
        <v>226</v>
      </c>
      <c r="B16" s="28" t="n">
        <f aca="false">-Comps!F13*((B8-B7)/365.25-Comps!C9)</f>
        <v>-10.0906630827501</v>
      </c>
      <c r="C16" s="7" t="s">
        <v>227</v>
      </c>
    </row>
    <row r="17" customFormat="false" ht="15" hidden="false" customHeight="false" outlineLevel="0" collapsed="false">
      <c r="A17" s="2" t="s">
        <v>228</v>
      </c>
      <c r="B17" s="23" t="n">
        <f aca="false">B14+B16</f>
        <v>57.9093369172498</v>
      </c>
    </row>
    <row r="18" customFormat="false" ht="15" hidden="false" customHeight="false" outlineLevel="0" collapsed="false">
      <c r="A18" s="5" t="s">
        <v>229</v>
      </c>
      <c r="B18" s="20" t="n">
        <f aca="false">B15-B17</f>
        <v>-4.00933691724985</v>
      </c>
      <c r="C18" s="7" t="s">
        <v>230</v>
      </c>
    </row>
    <row r="20" customFormat="false" ht="15" hidden="false" customHeight="false" outlineLevel="0" collapsed="false">
      <c r="A20" s="5" t="s">
        <v>231</v>
      </c>
      <c r="B20" s="27" t="n">
        <f aca="false">DCM_Pricing!B14</f>
        <v>0.0453068525345622</v>
      </c>
    </row>
    <row r="21" customFormat="false" ht="15" hidden="false" customHeight="false" outlineLevel="0" collapsed="false">
      <c r="A21" s="5" t="s">
        <v>232</v>
      </c>
      <c r="B21" s="20" t="n">
        <f aca="false">(B20-B6)*10000</f>
        <v>26.9685253456221</v>
      </c>
      <c r="C21" s="7"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42"/>
    <col collapsed="false" customWidth="true" hidden="false" outlineLevel="0" max="4" min="4" style="0" width="60"/>
  </cols>
  <sheetData>
    <row r="1" customFormat="false" ht="17.35" hidden="false" customHeight="false" outlineLevel="0" collapsed="false">
      <c r="A1" s="1" t="s">
        <v>234</v>
      </c>
    </row>
    <row r="2" customFormat="false" ht="15" hidden="false" customHeight="false" outlineLevel="0" collapsed="false">
      <c r="A2" s="7" t="s">
        <v>235</v>
      </c>
    </row>
    <row r="4" customFormat="false" ht="15" hidden="false" customHeight="false" outlineLevel="0" collapsed="false">
      <c r="A4" s="4" t="s">
        <v>236</v>
      </c>
      <c r="B4" s="4" t="s">
        <v>237</v>
      </c>
      <c r="C4" s="4" t="s">
        <v>238</v>
      </c>
      <c r="D4" s="4" t="s">
        <v>239</v>
      </c>
    </row>
    <row r="5" customFormat="false" ht="43.5" hidden="false" customHeight="true" outlineLevel="0" collapsed="false">
      <c r="A5" s="37" t="s">
        <v>240</v>
      </c>
      <c r="B5" s="3" t="s">
        <v>241</v>
      </c>
      <c r="C5" s="3" t="s">
        <v>242</v>
      </c>
      <c r="D5" s="3" t="s">
        <v>243</v>
      </c>
    </row>
    <row r="6" customFormat="false" ht="43.5" hidden="false" customHeight="true" outlineLevel="0" collapsed="false">
      <c r="A6" s="37" t="s">
        <v>244</v>
      </c>
      <c r="B6" s="3" t="s">
        <v>245</v>
      </c>
      <c r="C6" s="3" t="s">
        <v>246</v>
      </c>
      <c r="D6" s="3" t="s">
        <v>247</v>
      </c>
    </row>
    <row r="7" customFormat="false" ht="43.5" hidden="false" customHeight="true" outlineLevel="0" collapsed="false">
      <c r="A7" s="37" t="s">
        <v>248</v>
      </c>
      <c r="B7" s="3" t="s">
        <v>249</v>
      </c>
      <c r="C7" s="3" t="s">
        <v>250</v>
      </c>
      <c r="D7" s="3" t="s">
        <v>251</v>
      </c>
    </row>
    <row r="8" customFormat="false" ht="43.5" hidden="false" customHeight="true" outlineLevel="0" collapsed="false">
      <c r="A8" s="37" t="s">
        <v>252</v>
      </c>
      <c r="B8" s="3" t="s">
        <v>253</v>
      </c>
      <c r="C8" s="3" t="s">
        <v>254</v>
      </c>
      <c r="D8" s="3" t="s">
        <v>255</v>
      </c>
    </row>
    <row r="9" customFormat="false" ht="43.5" hidden="false" customHeight="true" outlineLevel="0" collapsed="false">
      <c r="A9" s="37" t="s">
        <v>256</v>
      </c>
      <c r="B9" s="3" t="s">
        <v>257</v>
      </c>
      <c r="C9" s="3" t="s">
        <v>258</v>
      </c>
      <c r="D9" s="3" t="s">
        <v>259</v>
      </c>
    </row>
    <row r="10" customFormat="false" ht="43.5" hidden="false" customHeight="true" outlineLevel="0" collapsed="false">
      <c r="A10" s="37" t="s">
        <v>260</v>
      </c>
      <c r="B10" s="3" t="s">
        <v>261</v>
      </c>
      <c r="C10" s="3" t="s">
        <v>262</v>
      </c>
      <c r="D10" s="3" t="s">
        <v>255</v>
      </c>
    </row>
    <row r="11" customFormat="false" ht="43.5" hidden="false" customHeight="true" outlineLevel="0" collapsed="false">
      <c r="A11" s="37" t="s">
        <v>263</v>
      </c>
      <c r="B11" s="3" t="s">
        <v>264</v>
      </c>
      <c r="C11" s="3" t="s">
        <v>265</v>
      </c>
      <c r="D11" s="3" t="s">
        <v>255</v>
      </c>
    </row>
    <row r="12" customFormat="false" ht="43.5" hidden="false" customHeight="true" outlineLevel="0" collapsed="false">
      <c r="A12" s="37" t="s">
        <v>266</v>
      </c>
      <c r="B12" s="3" t="s">
        <v>267</v>
      </c>
      <c r="C12" s="3" t="s">
        <v>268</v>
      </c>
      <c r="D12" s="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2026-10-16T10:44:30Z</dcterms:created>
  <dc:creator>openpyxl</dc:creator>
  <dc:description/>
  <dc:language>en-US</dc:language>
  <cp:lastModifiedBy/>
  <dcterms:modified xsi:type="dcterms:W3CDTF">2026-10-16T10:44:30Z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